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anjayshetty/Playground/finVault/backend/scripts/"/>
    </mc:Choice>
  </mc:AlternateContent>
  <xr:revisionPtr revIDLastSave="0" documentId="8_{76D4DE4A-14ED-2D41-B406-99CAD7E24D78}" xr6:coauthVersionLast="47" xr6:coauthVersionMax="47" xr10:uidLastSave="{00000000-0000-0000-0000-000000000000}"/>
  <bookViews>
    <workbookView xWindow="0" yWindow="680" windowWidth="34560" windowHeight="20080" xr2:uid="{00000000-000D-0000-FFFF-FFFF00000000}"/>
  </bookViews>
  <sheets>
    <sheet name="Options Tracker" sheetId="1" r:id="rId1"/>
  </sheets>
  <definedNames>
    <definedName name="_xlnm._FilterDatabase" localSheetId="0" hidden="1">'Options Tracker'!$A$1:$Q$1139</definedName>
    <definedName name="Z_A76022BB_C2A9_4CFE_9F71_B3809D4B6AD2_.wvu.FilterData" localSheetId="0" hidden="1">'Options Tracker'!$B$1:$P$1139</definedName>
  </definedNames>
  <calcPr calcId="191028"/>
  <customWorkbookViews>
    <customWorkbookView name="All" guid="{A76022BB-C2A9-4CFE-9F71-B3809D4B6AD2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103" i="1"/>
  <c r="O104" i="1"/>
  <c r="O109" i="1"/>
  <c r="O128" i="1"/>
  <c r="O164" i="1"/>
  <c r="O171" i="1"/>
  <c r="O176" i="1"/>
  <c r="O179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P474" i="1" s="1"/>
  <c r="O475" i="1"/>
  <c r="O476" i="1"/>
  <c r="O477" i="1"/>
  <c r="O478" i="1"/>
  <c r="O479" i="1"/>
  <c r="O480" i="1"/>
  <c r="O481" i="1"/>
  <c r="O482" i="1"/>
  <c r="O483" i="1"/>
  <c r="O484" i="1"/>
  <c r="P484" i="1" s="1"/>
  <c r="O485" i="1"/>
  <c r="O486" i="1"/>
  <c r="O487" i="1"/>
  <c r="O488" i="1"/>
  <c r="O489" i="1"/>
  <c r="O490" i="1"/>
  <c r="O491" i="1"/>
  <c r="P491" i="1" s="1"/>
  <c r="O492" i="1"/>
  <c r="O493" i="1"/>
  <c r="O494" i="1"/>
  <c r="P494" i="1" s="1"/>
  <c r="O495" i="1"/>
  <c r="O496" i="1"/>
  <c r="O497" i="1"/>
  <c r="O498" i="1"/>
  <c r="O499" i="1"/>
  <c r="O500" i="1"/>
  <c r="O501" i="1"/>
  <c r="O502" i="1"/>
  <c r="O503" i="1"/>
  <c r="O504" i="1"/>
  <c r="P504" i="1" s="1"/>
  <c r="O505" i="1"/>
  <c r="O506" i="1"/>
  <c r="O507" i="1"/>
  <c r="O508" i="1"/>
  <c r="O509" i="1"/>
  <c r="O510" i="1"/>
  <c r="O511" i="1"/>
  <c r="O512" i="1"/>
  <c r="O513" i="1"/>
  <c r="O514" i="1"/>
  <c r="P514" i="1" s="1"/>
  <c r="O515" i="1"/>
  <c r="O516" i="1"/>
  <c r="O517" i="1"/>
  <c r="O518" i="1"/>
  <c r="O519" i="1"/>
  <c r="O520" i="1"/>
  <c r="O521" i="1"/>
  <c r="P521" i="1" s="1"/>
  <c r="O522" i="1"/>
  <c r="O523" i="1"/>
  <c r="O524" i="1"/>
  <c r="P524" i="1" s="1"/>
  <c r="O525" i="1"/>
  <c r="O526" i="1"/>
  <c r="O527" i="1"/>
  <c r="O528" i="1"/>
  <c r="O529" i="1"/>
  <c r="O530" i="1"/>
  <c r="O531" i="1"/>
  <c r="O532" i="1"/>
  <c r="O533" i="1"/>
  <c r="O534" i="1"/>
  <c r="P534" i="1" s="1"/>
  <c r="O535" i="1"/>
  <c r="O536" i="1"/>
  <c r="O537" i="1"/>
  <c r="O538" i="1"/>
  <c r="O539" i="1"/>
  <c r="O540" i="1"/>
  <c r="O541" i="1"/>
  <c r="O542" i="1"/>
  <c r="O543" i="1"/>
  <c r="O544" i="1"/>
  <c r="P544" i="1" s="1"/>
  <c r="O545" i="1"/>
  <c r="O546" i="1"/>
  <c r="O547" i="1"/>
  <c r="O548" i="1"/>
  <c r="O549" i="1"/>
  <c r="O550" i="1"/>
  <c r="O551" i="1"/>
  <c r="O552" i="1"/>
  <c r="O553" i="1"/>
  <c r="O554" i="1"/>
  <c r="P554" i="1" s="1"/>
  <c r="O555" i="1"/>
  <c r="O556" i="1"/>
  <c r="O557" i="1"/>
  <c r="O558" i="1"/>
  <c r="O559" i="1"/>
  <c r="O560" i="1"/>
  <c r="O561" i="1"/>
  <c r="O562" i="1"/>
  <c r="O563" i="1"/>
  <c r="O564" i="1"/>
  <c r="P564" i="1" s="1"/>
  <c r="O565" i="1"/>
  <c r="O566" i="1"/>
  <c r="O567" i="1"/>
  <c r="O568" i="1"/>
  <c r="O569" i="1"/>
  <c r="O570" i="1"/>
  <c r="O571" i="1"/>
  <c r="O572" i="1"/>
  <c r="O573" i="1"/>
  <c r="O574" i="1"/>
  <c r="P574" i="1" s="1"/>
  <c r="O575" i="1"/>
  <c r="O576" i="1"/>
  <c r="O577" i="1"/>
  <c r="O578" i="1"/>
  <c r="O579" i="1"/>
  <c r="O580" i="1"/>
  <c r="O581" i="1"/>
  <c r="O582" i="1"/>
  <c r="O583" i="1"/>
  <c r="O584" i="1"/>
  <c r="P584" i="1" s="1"/>
  <c r="O585" i="1"/>
  <c r="O586" i="1"/>
  <c r="O587" i="1"/>
  <c r="O588" i="1"/>
  <c r="O589" i="1"/>
  <c r="O590" i="1"/>
  <c r="O591" i="1"/>
  <c r="P591" i="1" s="1"/>
  <c r="O592" i="1"/>
  <c r="O593" i="1"/>
  <c r="O594" i="1"/>
  <c r="P594" i="1" s="1"/>
  <c r="O595" i="1"/>
  <c r="O596" i="1"/>
  <c r="O597" i="1"/>
  <c r="O598" i="1"/>
  <c r="O599" i="1"/>
  <c r="O600" i="1"/>
  <c r="O601" i="1"/>
  <c r="O602" i="1"/>
  <c r="O603" i="1"/>
  <c r="O604" i="1"/>
  <c r="P604" i="1" s="1"/>
  <c r="O605" i="1"/>
  <c r="O606" i="1"/>
  <c r="O607" i="1"/>
  <c r="O608" i="1"/>
  <c r="O609" i="1"/>
  <c r="O610" i="1"/>
  <c r="O611" i="1"/>
  <c r="P611" i="1" s="1"/>
  <c r="O612" i="1"/>
  <c r="O613" i="1"/>
  <c r="O614" i="1"/>
  <c r="P614" i="1" s="1"/>
  <c r="O615" i="1"/>
  <c r="O616" i="1"/>
  <c r="O617" i="1"/>
  <c r="O618" i="1"/>
  <c r="O619" i="1"/>
  <c r="O620" i="1"/>
  <c r="O621" i="1"/>
  <c r="P621" i="1" s="1"/>
  <c r="O622" i="1"/>
  <c r="O623" i="1"/>
  <c r="O624" i="1"/>
  <c r="P624" i="1" s="1"/>
  <c r="O625" i="1"/>
  <c r="O626" i="1"/>
  <c r="O627" i="1"/>
  <c r="O628" i="1"/>
  <c r="O629" i="1"/>
  <c r="O630" i="1"/>
  <c r="O631" i="1"/>
  <c r="O632" i="1"/>
  <c r="O633" i="1"/>
  <c r="O634" i="1"/>
  <c r="P634" i="1" s="1"/>
  <c r="O635" i="1"/>
  <c r="O636" i="1"/>
  <c r="O637" i="1"/>
  <c r="O638" i="1"/>
  <c r="O639" i="1"/>
  <c r="O640" i="1"/>
  <c r="O641" i="1"/>
  <c r="O642" i="1"/>
  <c r="O643" i="1"/>
  <c r="O644" i="1"/>
  <c r="P644" i="1" s="1"/>
  <c r="O645" i="1"/>
  <c r="O646" i="1"/>
  <c r="O647" i="1"/>
  <c r="O648" i="1"/>
  <c r="O649" i="1"/>
  <c r="O650" i="1"/>
  <c r="O651" i="1"/>
  <c r="O652" i="1"/>
  <c r="O653" i="1"/>
  <c r="O654" i="1"/>
  <c r="P654" i="1" s="1"/>
  <c r="O655" i="1"/>
  <c r="O656" i="1"/>
  <c r="O657" i="1"/>
  <c r="O658" i="1"/>
  <c r="O659" i="1"/>
  <c r="O660" i="1"/>
  <c r="O661" i="1"/>
  <c r="O662" i="1"/>
  <c r="O663" i="1"/>
  <c r="O664" i="1"/>
  <c r="P664" i="1" s="1"/>
  <c r="O665" i="1"/>
  <c r="O666" i="1"/>
  <c r="O667" i="1"/>
  <c r="P667" i="1" s="1"/>
  <c r="O668" i="1"/>
  <c r="O669" i="1"/>
  <c r="O670" i="1"/>
  <c r="O671" i="1"/>
  <c r="O672" i="1"/>
  <c r="O673" i="1"/>
  <c r="O674" i="1"/>
  <c r="P674" i="1" s="1"/>
  <c r="O675" i="1"/>
  <c r="O676" i="1"/>
  <c r="O677" i="1"/>
  <c r="O678" i="1"/>
  <c r="O679" i="1"/>
  <c r="O680" i="1"/>
  <c r="O681" i="1"/>
  <c r="O682" i="1"/>
  <c r="O683" i="1"/>
  <c r="O684" i="1"/>
  <c r="P684" i="1" s="1"/>
  <c r="O685" i="1"/>
  <c r="O686" i="1"/>
  <c r="O687" i="1"/>
  <c r="P687" i="1" s="1"/>
  <c r="O688" i="1"/>
  <c r="O689" i="1"/>
  <c r="O690" i="1"/>
  <c r="O691" i="1"/>
  <c r="P691" i="1" s="1"/>
  <c r="O692" i="1"/>
  <c r="O693" i="1"/>
  <c r="O694" i="1"/>
  <c r="P694" i="1" s="1"/>
  <c r="O695" i="1"/>
  <c r="O696" i="1"/>
  <c r="O697" i="1"/>
  <c r="P697" i="1" s="1"/>
  <c r="O698" i="1"/>
  <c r="P698" i="1" s="1"/>
  <c r="O699" i="1"/>
  <c r="O700" i="1"/>
  <c r="O701" i="1"/>
  <c r="O702" i="1"/>
  <c r="O703" i="1"/>
  <c r="O704" i="1"/>
  <c r="P704" i="1" s="1"/>
  <c r="O705" i="1"/>
  <c r="O706" i="1"/>
  <c r="O707" i="1"/>
  <c r="O708" i="1"/>
  <c r="O709" i="1"/>
  <c r="O710" i="1"/>
  <c r="O711" i="1"/>
  <c r="P711" i="1" s="1"/>
  <c r="O712" i="1"/>
  <c r="O713" i="1"/>
  <c r="O714" i="1"/>
  <c r="P714" i="1" s="1"/>
  <c r="O715" i="1"/>
  <c r="O716" i="1"/>
  <c r="O717" i="1"/>
  <c r="O718" i="1"/>
  <c r="P718" i="1" s="1"/>
  <c r="O719" i="1"/>
  <c r="O720" i="1"/>
  <c r="O721" i="1"/>
  <c r="P721" i="1" s="1"/>
  <c r="O722" i="1"/>
  <c r="O723" i="1"/>
  <c r="O724" i="1"/>
  <c r="P724" i="1" s="1"/>
  <c r="O725" i="1"/>
  <c r="O726" i="1"/>
  <c r="O727" i="1"/>
  <c r="O728" i="1"/>
  <c r="P728" i="1" s="1"/>
  <c r="O729" i="1"/>
  <c r="P729" i="1" s="1"/>
  <c r="O730" i="1"/>
  <c r="O731" i="1"/>
  <c r="O732" i="1"/>
  <c r="O733" i="1"/>
  <c r="O734" i="1"/>
  <c r="P734" i="1" s="1"/>
  <c r="O735" i="1"/>
  <c r="O736" i="1"/>
  <c r="O737" i="1"/>
  <c r="O738" i="1"/>
  <c r="O739" i="1"/>
  <c r="O740" i="1"/>
  <c r="O741" i="1"/>
  <c r="O742" i="1"/>
  <c r="O743" i="1"/>
  <c r="O744" i="1"/>
  <c r="P744" i="1" s="1"/>
  <c r="O745" i="1"/>
  <c r="O746" i="1"/>
  <c r="O747" i="1"/>
  <c r="O748" i="1"/>
  <c r="O749" i="1"/>
  <c r="P749" i="1" s="1"/>
  <c r="O750" i="1"/>
  <c r="O751" i="1"/>
  <c r="O752" i="1"/>
  <c r="O753" i="1"/>
  <c r="O754" i="1"/>
  <c r="P754" i="1" s="1"/>
  <c r="O755" i="1"/>
  <c r="O756" i="1"/>
  <c r="O757" i="1"/>
  <c r="O758" i="1"/>
  <c r="O759" i="1"/>
  <c r="P759" i="1" s="1"/>
  <c r="O760" i="1"/>
  <c r="O761" i="1"/>
  <c r="O762" i="1"/>
  <c r="O763" i="1"/>
  <c r="O764" i="1"/>
  <c r="P764" i="1" s="1"/>
  <c r="O765" i="1"/>
  <c r="O766" i="1"/>
  <c r="O767" i="1"/>
  <c r="P767" i="1" s="1"/>
  <c r="O768" i="1"/>
  <c r="O769" i="1"/>
  <c r="O770" i="1"/>
  <c r="O771" i="1"/>
  <c r="O772" i="1"/>
  <c r="O773" i="1"/>
  <c r="O774" i="1"/>
  <c r="P774" i="1" s="1"/>
  <c r="O775" i="1"/>
  <c r="O776" i="1"/>
  <c r="O777" i="1"/>
  <c r="O778" i="1"/>
  <c r="O779" i="1"/>
  <c r="O780" i="1"/>
  <c r="O781" i="1"/>
  <c r="O782" i="1"/>
  <c r="O783" i="1"/>
  <c r="O784" i="1"/>
  <c r="P784" i="1" s="1"/>
  <c r="O785" i="1"/>
  <c r="O786" i="1"/>
  <c r="O787" i="1"/>
  <c r="P787" i="1" s="1"/>
  <c r="O788" i="1"/>
  <c r="O789" i="1"/>
  <c r="O790" i="1"/>
  <c r="O791" i="1"/>
  <c r="P791" i="1" s="1"/>
  <c r="O792" i="1"/>
  <c r="O793" i="1"/>
  <c r="O794" i="1"/>
  <c r="P794" i="1" s="1"/>
  <c r="O795" i="1"/>
  <c r="O796" i="1"/>
  <c r="O797" i="1"/>
  <c r="P797" i="1" s="1"/>
  <c r="O798" i="1"/>
  <c r="P798" i="1" s="1"/>
  <c r="O799" i="1"/>
  <c r="O800" i="1"/>
  <c r="O801" i="1"/>
  <c r="O802" i="1"/>
  <c r="O803" i="1"/>
  <c r="O804" i="1"/>
  <c r="P804" i="1" s="1"/>
  <c r="O805" i="1"/>
  <c r="O806" i="1"/>
  <c r="O807" i="1"/>
  <c r="O808" i="1"/>
  <c r="O809" i="1"/>
  <c r="O810" i="1"/>
  <c r="O811" i="1"/>
  <c r="P811" i="1" s="1"/>
  <c r="O812" i="1"/>
  <c r="O813" i="1"/>
  <c r="O814" i="1"/>
  <c r="P814" i="1" s="1"/>
  <c r="O815" i="1"/>
  <c r="O816" i="1"/>
  <c r="O817" i="1"/>
  <c r="O818" i="1"/>
  <c r="P818" i="1" s="1"/>
  <c r="O819" i="1"/>
  <c r="O820" i="1"/>
  <c r="O821" i="1"/>
  <c r="P821" i="1" s="1"/>
  <c r="O822" i="1"/>
  <c r="O823" i="1"/>
  <c r="O824" i="1"/>
  <c r="P824" i="1" s="1"/>
  <c r="O825" i="1"/>
  <c r="O826" i="1"/>
  <c r="O827" i="1"/>
  <c r="O828" i="1"/>
  <c r="P828" i="1" s="1"/>
  <c r="O829" i="1"/>
  <c r="P829" i="1" s="1"/>
  <c r="O830" i="1"/>
  <c r="O831" i="1"/>
  <c r="O832" i="1"/>
  <c r="O833" i="1"/>
  <c r="O834" i="1"/>
  <c r="P834" i="1" s="1"/>
  <c r="O835" i="1"/>
  <c r="O836" i="1"/>
  <c r="O837" i="1"/>
  <c r="O838" i="1"/>
  <c r="O839" i="1"/>
  <c r="O840" i="1"/>
  <c r="O841" i="1"/>
  <c r="O842" i="1"/>
  <c r="O843" i="1"/>
  <c r="O844" i="1"/>
  <c r="P844" i="1" s="1"/>
  <c r="O845" i="1"/>
  <c r="O846" i="1"/>
  <c r="O847" i="1"/>
  <c r="O848" i="1"/>
  <c r="O849" i="1"/>
  <c r="P849" i="1" s="1"/>
  <c r="O850" i="1"/>
  <c r="O851" i="1"/>
  <c r="O852" i="1"/>
  <c r="O853" i="1"/>
  <c r="O854" i="1"/>
  <c r="P854" i="1" s="1"/>
  <c r="O855" i="1"/>
  <c r="O856" i="1"/>
  <c r="O857" i="1"/>
  <c r="O858" i="1"/>
  <c r="O859" i="1"/>
  <c r="P859" i="1" s="1"/>
  <c r="O860" i="1"/>
  <c r="O861" i="1"/>
  <c r="O862" i="1"/>
  <c r="O863" i="1"/>
  <c r="O864" i="1"/>
  <c r="P864" i="1" s="1"/>
  <c r="O865" i="1"/>
  <c r="O866" i="1"/>
  <c r="O867" i="1"/>
  <c r="P867" i="1" s="1"/>
  <c r="O868" i="1"/>
  <c r="O869" i="1"/>
  <c r="O870" i="1"/>
  <c r="O871" i="1"/>
  <c r="O872" i="1"/>
  <c r="O873" i="1"/>
  <c r="O874" i="1"/>
  <c r="P874" i="1" s="1"/>
  <c r="O875" i="1"/>
  <c r="O876" i="1"/>
  <c r="O877" i="1"/>
  <c r="O878" i="1"/>
  <c r="O879" i="1"/>
  <c r="O880" i="1"/>
  <c r="O881" i="1"/>
  <c r="O882" i="1"/>
  <c r="O883" i="1"/>
  <c r="O884" i="1"/>
  <c r="P884" i="1" s="1"/>
  <c r="O885" i="1"/>
  <c r="O886" i="1"/>
  <c r="O887" i="1"/>
  <c r="P887" i="1" s="1"/>
  <c r="O888" i="1"/>
  <c r="O889" i="1"/>
  <c r="O890" i="1"/>
  <c r="O891" i="1"/>
  <c r="P891" i="1" s="1"/>
  <c r="O892" i="1"/>
  <c r="O893" i="1"/>
  <c r="O894" i="1"/>
  <c r="P894" i="1" s="1"/>
  <c r="O895" i="1"/>
  <c r="O896" i="1"/>
  <c r="O897" i="1"/>
  <c r="P897" i="1" s="1"/>
  <c r="O898" i="1"/>
  <c r="P898" i="1" s="1"/>
  <c r="O899" i="1"/>
  <c r="O900" i="1"/>
  <c r="O901" i="1"/>
  <c r="O902" i="1"/>
  <c r="O903" i="1"/>
  <c r="O904" i="1"/>
  <c r="P904" i="1" s="1"/>
  <c r="O905" i="1"/>
  <c r="O906" i="1"/>
  <c r="O907" i="1"/>
  <c r="O908" i="1"/>
  <c r="O909" i="1"/>
  <c r="O910" i="1"/>
  <c r="O911" i="1"/>
  <c r="P911" i="1" s="1"/>
  <c r="O912" i="1"/>
  <c r="O913" i="1"/>
  <c r="O914" i="1"/>
  <c r="P914" i="1" s="1"/>
  <c r="O915" i="1"/>
  <c r="O916" i="1"/>
  <c r="O917" i="1"/>
  <c r="O918" i="1"/>
  <c r="P918" i="1" s="1"/>
  <c r="O919" i="1"/>
  <c r="O920" i="1"/>
  <c r="O921" i="1"/>
  <c r="P921" i="1" s="1"/>
  <c r="O922" i="1"/>
  <c r="O923" i="1"/>
  <c r="O924" i="1"/>
  <c r="P924" i="1" s="1"/>
  <c r="O925" i="1"/>
  <c r="O926" i="1"/>
  <c r="O927" i="1"/>
  <c r="O928" i="1"/>
  <c r="P928" i="1" s="1"/>
  <c r="O929" i="1"/>
  <c r="P929" i="1" s="1"/>
  <c r="O930" i="1"/>
  <c r="O931" i="1"/>
  <c r="P931" i="1" s="1"/>
  <c r="O932" i="1"/>
  <c r="O933" i="1"/>
  <c r="O934" i="1"/>
  <c r="P934" i="1" s="1"/>
  <c r="O935" i="1"/>
  <c r="O936" i="1"/>
  <c r="O937" i="1"/>
  <c r="O938" i="1"/>
  <c r="O939" i="1"/>
  <c r="O940" i="1"/>
  <c r="O941" i="1"/>
  <c r="P941" i="1" s="1"/>
  <c r="O942" i="1"/>
  <c r="O943" i="1"/>
  <c r="O944" i="1"/>
  <c r="P944" i="1" s="1"/>
  <c r="O945" i="1"/>
  <c r="O946" i="1"/>
  <c r="O947" i="1"/>
  <c r="O948" i="1"/>
  <c r="O949" i="1"/>
  <c r="P949" i="1" s="1"/>
  <c r="O950" i="1"/>
  <c r="O951" i="1"/>
  <c r="P951" i="1" s="1"/>
  <c r="O952" i="1"/>
  <c r="O953" i="1"/>
  <c r="O954" i="1"/>
  <c r="P954" i="1" s="1"/>
  <c r="O955" i="1"/>
  <c r="O956" i="1"/>
  <c r="O957" i="1"/>
  <c r="O958" i="1"/>
  <c r="O959" i="1"/>
  <c r="P959" i="1" s="1"/>
  <c r="O960" i="1"/>
  <c r="O961" i="1"/>
  <c r="P961" i="1" s="1"/>
  <c r="O962" i="1"/>
  <c r="O963" i="1"/>
  <c r="O964" i="1"/>
  <c r="P964" i="1" s="1"/>
  <c r="O965" i="1"/>
  <c r="O966" i="1"/>
  <c r="O967" i="1"/>
  <c r="P967" i="1" s="1"/>
  <c r="O968" i="1"/>
  <c r="O969" i="1"/>
  <c r="O970" i="1"/>
  <c r="O971" i="1"/>
  <c r="O972" i="1"/>
  <c r="O973" i="1"/>
  <c r="O974" i="1"/>
  <c r="P974" i="1" s="1"/>
  <c r="O975" i="1"/>
  <c r="O976" i="1"/>
  <c r="O977" i="1"/>
  <c r="O978" i="1"/>
  <c r="O979" i="1"/>
  <c r="O980" i="1"/>
  <c r="O981" i="1"/>
  <c r="O982" i="1"/>
  <c r="O983" i="1"/>
  <c r="O984" i="1"/>
  <c r="P984" i="1" s="1"/>
  <c r="O985" i="1"/>
  <c r="O986" i="1"/>
  <c r="O987" i="1"/>
  <c r="P987" i="1" s="1"/>
  <c r="O988" i="1"/>
  <c r="O989" i="1"/>
  <c r="O990" i="1"/>
  <c r="O991" i="1"/>
  <c r="P991" i="1" s="1"/>
  <c r="O992" i="1"/>
  <c r="O993" i="1"/>
  <c r="O994" i="1"/>
  <c r="P994" i="1" s="1"/>
  <c r="O995" i="1"/>
  <c r="O996" i="1"/>
  <c r="O997" i="1"/>
  <c r="P997" i="1" s="1"/>
  <c r="O998" i="1"/>
  <c r="P998" i="1" s="1"/>
  <c r="O999" i="1"/>
  <c r="O1000" i="1"/>
  <c r="O1001" i="1"/>
  <c r="O1002" i="1"/>
  <c r="O1003" i="1"/>
  <c r="O1004" i="1"/>
  <c r="P1004" i="1" s="1"/>
  <c r="O1005" i="1"/>
  <c r="O1006" i="1"/>
  <c r="O1007" i="1"/>
  <c r="O1008" i="1"/>
  <c r="O1009" i="1"/>
  <c r="O1010" i="1"/>
  <c r="O1011" i="1"/>
  <c r="P1011" i="1" s="1"/>
  <c r="O1012" i="1"/>
  <c r="O1013" i="1"/>
  <c r="O1014" i="1"/>
  <c r="P1014" i="1" s="1"/>
  <c r="O1015" i="1"/>
  <c r="O1016" i="1"/>
  <c r="O1017" i="1"/>
  <c r="O1018" i="1"/>
  <c r="P1018" i="1" s="1"/>
  <c r="O1019" i="1"/>
  <c r="O1020" i="1"/>
  <c r="O1021" i="1"/>
  <c r="P1021" i="1" s="1"/>
  <c r="O1022" i="1"/>
  <c r="O1023" i="1"/>
  <c r="O1024" i="1"/>
  <c r="P1024" i="1" s="1"/>
  <c r="O1025" i="1"/>
  <c r="O1026" i="1"/>
  <c r="O1027" i="1"/>
  <c r="O1028" i="1"/>
  <c r="P1028" i="1" s="1"/>
  <c r="O1029" i="1"/>
  <c r="P1029" i="1" s="1"/>
  <c r="O1030" i="1"/>
  <c r="P1030" i="1" s="1"/>
  <c r="O1031" i="1"/>
  <c r="P1031" i="1" s="1"/>
  <c r="O1032" i="1"/>
  <c r="O1033" i="1"/>
  <c r="O1034" i="1"/>
  <c r="P1034" i="1" s="1"/>
  <c r="O1035" i="1"/>
  <c r="O1036" i="1"/>
  <c r="O1037" i="1"/>
  <c r="O1038" i="1"/>
  <c r="O1039" i="1"/>
  <c r="P1039" i="1" s="1"/>
  <c r="O1040" i="1"/>
  <c r="P1040" i="1" s="1"/>
  <c r="O1041" i="1"/>
  <c r="P1041" i="1" s="1"/>
  <c r="O1042" i="1"/>
  <c r="O1043" i="1"/>
  <c r="O1044" i="1"/>
  <c r="P1044" i="1" s="1"/>
  <c r="O1045" i="1"/>
  <c r="O1046" i="1"/>
  <c r="O1047" i="1"/>
  <c r="P1047" i="1" s="1"/>
  <c r="O1048" i="1"/>
  <c r="O1049" i="1"/>
  <c r="O1050" i="1"/>
  <c r="P1050" i="1" s="1"/>
  <c r="O1051" i="1"/>
  <c r="P1051" i="1" s="1"/>
  <c r="O1052" i="1"/>
  <c r="O1053" i="1"/>
  <c r="O1054" i="1"/>
  <c r="P1054" i="1" s="1"/>
  <c r="O1055" i="1"/>
  <c r="O1056" i="1"/>
  <c r="O1057" i="1"/>
  <c r="P1057" i="1" s="1"/>
  <c r="O1058" i="1"/>
  <c r="O1059" i="1"/>
  <c r="O1060" i="1"/>
  <c r="P1060" i="1" s="1"/>
  <c r="O1061" i="1"/>
  <c r="O1062" i="1"/>
  <c r="O1063" i="1"/>
  <c r="O1064" i="1"/>
  <c r="P1064" i="1" s="1"/>
  <c r="O1065" i="1"/>
  <c r="O1066" i="1"/>
  <c r="O1067" i="1"/>
  <c r="O1068" i="1"/>
  <c r="O1069" i="1"/>
  <c r="O1070" i="1"/>
  <c r="P1070" i="1" s="1"/>
  <c r="O1071" i="1"/>
  <c r="P1071" i="1" s="1"/>
  <c r="O1072" i="1"/>
  <c r="O1073" i="1"/>
  <c r="O1074" i="1"/>
  <c r="P1074" i="1" s="1"/>
  <c r="O1075" i="1"/>
  <c r="O1076" i="1"/>
  <c r="O1077" i="1"/>
  <c r="O1078" i="1"/>
  <c r="P1078" i="1" s="1"/>
  <c r="O1079" i="1"/>
  <c r="P1079" i="1" s="1"/>
  <c r="O1080" i="1"/>
  <c r="P1080" i="1" s="1"/>
  <c r="O1081" i="1"/>
  <c r="P1081" i="1" s="1"/>
  <c r="O1082" i="1"/>
  <c r="O1083" i="1"/>
  <c r="O1084" i="1"/>
  <c r="P1084" i="1" s="1"/>
  <c r="O1085" i="1"/>
  <c r="O1086" i="1"/>
  <c r="O1087" i="1"/>
  <c r="O1088" i="1"/>
  <c r="O1089" i="1"/>
  <c r="P1089" i="1" s="1"/>
  <c r="O1090" i="1"/>
  <c r="P1090" i="1" s="1"/>
  <c r="O1091" i="1"/>
  <c r="P1091" i="1" s="1"/>
  <c r="O1092" i="1"/>
  <c r="O1093" i="1"/>
  <c r="O1094" i="1"/>
  <c r="P1094" i="1" s="1"/>
  <c r="O1095" i="1"/>
  <c r="O1096" i="1"/>
  <c r="O1097" i="1"/>
  <c r="P1097" i="1" s="1"/>
  <c r="O1098" i="1"/>
  <c r="O1099" i="1"/>
  <c r="O1100" i="1"/>
  <c r="P1100" i="1" s="1"/>
  <c r="O1101" i="1"/>
  <c r="P1101" i="1" s="1"/>
  <c r="O1102" i="1"/>
  <c r="O1103" i="1"/>
  <c r="O1104" i="1"/>
  <c r="P1104" i="1" s="1"/>
  <c r="O1105" i="1"/>
  <c r="O1106" i="1"/>
  <c r="O1107" i="1"/>
  <c r="P1107" i="1" s="1"/>
  <c r="O1108" i="1"/>
  <c r="O1109" i="1"/>
  <c r="O1110" i="1"/>
  <c r="P1110" i="1" s="1"/>
  <c r="O1111" i="1"/>
  <c r="O1112" i="1"/>
  <c r="O1113" i="1"/>
  <c r="O1114" i="1"/>
  <c r="P1114" i="1" s="1"/>
  <c r="O1115" i="1"/>
  <c r="O1116" i="1"/>
  <c r="O1117" i="1"/>
  <c r="O1118" i="1"/>
  <c r="O1119" i="1"/>
  <c r="O1120" i="1"/>
  <c r="P1120" i="1" s="1"/>
  <c r="O1121" i="1"/>
  <c r="P1121" i="1" s="1"/>
  <c r="O1122" i="1"/>
  <c r="O1123" i="1"/>
  <c r="O1124" i="1"/>
  <c r="P1124" i="1" s="1"/>
  <c r="O1125" i="1"/>
  <c r="O1126" i="1"/>
  <c r="O1127" i="1"/>
  <c r="O1128" i="1"/>
  <c r="P1128" i="1" s="1"/>
  <c r="O1129" i="1"/>
  <c r="P1129" i="1" s="1"/>
  <c r="O1130" i="1"/>
  <c r="P1130" i="1" s="1"/>
  <c r="O1131" i="1"/>
  <c r="P1131" i="1" s="1"/>
  <c r="O1132" i="1"/>
  <c r="O1133" i="1"/>
  <c r="O1134" i="1"/>
  <c r="P1134" i="1" s="1"/>
  <c r="O1135" i="1"/>
  <c r="O1136" i="1"/>
  <c r="O1137" i="1"/>
  <c r="O1138" i="1"/>
  <c r="O1139" i="1"/>
  <c r="P1139" i="1" s="1"/>
  <c r="L5" i="1"/>
  <c r="L2" i="1"/>
  <c r="K179" i="1"/>
  <c r="I179" i="1"/>
  <c r="I171" i="1"/>
  <c r="K184" i="1"/>
  <c r="N173" i="1"/>
  <c r="I173" i="1"/>
  <c r="M173" i="1" s="1"/>
  <c r="O173" i="1" s="1"/>
  <c r="K181" i="1"/>
  <c r="K180" i="1"/>
  <c r="M180" i="1" s="1"/>
  <c r="O180" i="1" s="1"/>
  <c r="K172" i="1"/>
  <c r="I172" i="1"/>
  <c r="K175" i="1"/>
  <c r="K178" i="1"/>
  <c r="K177" i="1"/>
  <c r="M177" i="1" s="1"/>
  <c r="O177" i="1" s="1"/>
  <c r="I128" i="1"/>
  <c r="K176" i="1"/>
  <c r="N104" i="1"/>
  <c r="N109" i="1"/>
  <c r="K174" i="1"/>
  <c r="M174" i="1" s="1"/>
  <c r="O174" i="1" s="1"/>
  <c r="K19" i="1"/>
  <c r="K171" i="1"/>
  <c r="M109" i="1"/>
  <c r="M104" i="1"/>
  <c r="I108" i="1"/>
  <c r="M108" i="1" s="1"/>
  <c r="O108" i="1" s="1"/>
  <c r="I103" i="1"/>
  <c r="M18" i="1"/>
  <c r="O18" i="1" s="1"/>
  <c r="K170" i="1"/>
  <c r="K143" i="1"/>
  <c r="I162" i="1"/>
  <c r="K167" i="1"/>
  <c r="K165" i="1"/>
  <c r="J165" i="1"/>
  <c r="K168" i="1"/>
  <c r="K162" i="1"/>
  <c r="M162" i="1" s="1"/>
  <c r="O162" i="1" s="1"/>
  <c r="K164" i="1"/>
  <c r="M164" i="1" s="1"/>
  <c r="K30" i="1"/>
  <c r="K163" i="1"/>
  <c r="K160" i="1"/>
  <c r="K159" i="1"/>
  <c r="M159" i="1" s="1"/>
  <c r="O159" i="1" s="1"/>
  <c r="K151" i="1"/>
  <c r="K152" i="1"/>
  <c r="M152" i="1" s="1"/>
  <c r="O152" i="1" s="1"/>
  <c r="K145" i="1"/>
  <c r="K149" i="1"/>
  <c r="K148" i="1"/>
  <c r="M148" i="1" s="1"/>
  <c r="O148" i="1" s="1"/>
  <c r="K146" i="1"/>
  <c r="K147" i="1"/>
  <c r="K142" i="1"/>
  <c r="M142" i="1" s="1"/>
  <c r="O142" i="1" s="1"/>
  <c r="K144" i="1"/>
  <c r="M144" i="1" s="1"/>
  <c r="O144" i="1" s="1"/>
  <c r="K140" i="1"/>
  <c r="K141" i="1"/>
  <c r="I141" i="1"/>
  <c r="M141" i="1" s="1"/>
  <c r="O141" i="1" s="1"/>
  <c r="I140" i="1"/>
  <c r="I19" i="1"/>
  <c r="K138" i="1"/>
  <c r="M138" i="1" s="1"/>
  <c r="O138" i="1" s="1"/>
  <c r="K128" i="1"/>
  <c r="K137" i="1"/>
  <c r="K136" i="1"/>
  <c r="K135" i="1"/>
  <c r="I115" i="1"/>
  <c r="K115" i="1"/>
  <c r="K132" i="1"/>
  <c r="K131" i="1"/>
  <c r="L130" i="1"/>
  <c r="K130" i="1"/>
  <c r="M130" i="1" s="1"/>
  <c r="O130" i="1" s="1"/>
  <c r="K129" i="1"/>
  <c r="M129" i="1" s="1"/>
  <c r="O129" i="1" s="1"/>
  <c r="K127" i="1"/>
  <c r="K126" i="1"/>
  <c r="M126" i="1" s="1"/>
  <c r="O126" i="1" s="1"/>
  <c r="K125" i="1"/>
  <c r="K124" i="1"/>
  <c r="M124" i="1" s="1"/>
  <c r="O124" i="1" s="1"/>
  <c r="K120" i="1"/>
  <c r="K119" i="1"/>
  <c r="M119" i="1" s="1"/>
  <c r="O119" i="1" s="1"/>
  <c r="K116" i="1"/>
  <c r="K111" i="1"/>
  <c r="K110" i="1"/>
  <c r="M110" i="1" s="1"/>
  <c r="O110" i="1" s="1"/>
  <c r="K118" i="1"/>
  <c r="K117" i="1"/>
  <c r="K114" i="1"/>
  <c r="K113" i="1"/>
  <c r="K112" i="1"/>
  <c r="I106" i="1"/>
  <c r="K106" i="1"/>
  <c r="K107" i="1"/>
  <c r="I107" i="1"/>
  <c r="K95" i="1"/>
  <c r="M95" i="1" s="1"/>
  <c r="O95" i="1" s="1"/>
  <c r="K96" i="1"/>
  <c r="K85" i="1"/>
  <c r="K105" i="1"/>
  <c r="I55" i="1"/>
  <c r="I86" i="1"/>
  <c r="K88" i="1"/>
  <c r="I88" i="1"/>
  <c r="M88" i="1" s="1"/>
  <c r="O88" i="1" s="1"/>
  <c r="K64" i="1"/>
  <c r="K74" i="1"/>
  <c r="K75" i="1"/>
  <c r="M75" i="1" s="1"/>
  <c r="O75" i="1" s="1"/>
  <c r="I74" i="1"/>
  <c r="M74" i="1" s="1"/>
  <c r="O74" i="1" s="1"/>
  <c r="I64" i="1"/>
  <c r="I35" i="1"/>
  <c r="I32" i="1"/>
  <c r="K58" i="1"/>
  <c r="K46" i="1"/>
  <c r="I46" i="1"/>
  <c r="M46" i="1" s="1"/>
  <c r="O46" i="1" s="1"/>
  <c r="K56" i="1"/>
  <c r="K35" i="1"/>
  <c r="I37" i="1"/>
  <c r="K48" i="1"/>
  <c r="K47" i="1"/>
  <c r="K43" i="1"/>
  <c r="K37" i="1"/>
  <c r="I41" i="1"/>
  <c r="K40" i="1"/>
  <c r="I40" i="1"/>
  <c r="I39" i="1"/>
  <c r="K39" i="1"/>
  <c r="J33" i="1"/>
  <c r="N1139" i="1"/>
  <c r="M1139" i="1"/>
  <c r="P1138" i="1"/>
  <c r="N1138" i="1"/>
  <c r="M1138" i="1"/>
  <c r="P1137" i="1"/>
  <c r="N1137" i="1"/>
  <c r="M1137" i="1"/>
  <c r="P1136" i="1"/>
  <c r="N1136" i="1"/>
  <c r="M1136" i="1"/>
  <c r="P1135" i="1"/>
  <c r="N1135" i="1"/>
  <c r="M1135" i="1"/>
  <c r="N1134" i="1"/>
  <c r="M1134" i="1"/>
  <c r="P1133" i="1"/>
  <c r="N1133" i="1"/>
  <c r="M1133" i="1"/>
  <c r="P1132" i="1"/>
  <c r="N1132" i="1"/>
  <c r="M1132" i="1"/>
  <c r="N1131" i="1"/>
  <c r="M1131" i="1"/>
  <c r="N1130" i="1"/>
  <c r="M1130" i="1"/>
  <c r="N1129" i="1"/>
  <c r="M1129" i="1"/>
  <c r="N1128" i="1"/>
  <c r="M1128" i="1"/>
  <c r="P1127" i="1"/>
  <c r="N1127" i="1"/>
  <c r="M1127" i="1"/>
  <c r="P1126" i="1"/>
  <c r="N1126" i="1"/>
  <c r="M1126" i="1"/>
  <c r="P1125" i="1"/>
  <c r="N1125" i="1"/>
  <c r="M1125" i="1"/>
  <c r="N1124" i="1"/>
  <c r="M1124" i="1"/>
  <c r="P1123" i="1"/>
  <c r="N1123" i="1"/>
  <c r="M1123" i="1"/>
  <c r="P1122" i="1"/>
  <c r="N1122" i="1"/>
  <c r="M1122" i="1"/>
  <c r="N1121" i="1"/>
  <c r="M1121" i="1"/>
  <c r="N1120" i="1"/>
  <c r="M1120" i="1"/>
  <c r="P1119" i="1"/>
  <c r="N1119" i="1"/>
  <c r="M1119" i="1"/>
  <c r="P1118" i="1"/>
  <c r="N1118" i="1"/>
  <c r="M1118" i="1"/>
  <c r="P1117" i="1"/>
  <c r="N1117" i="1"/>
  <c r="M1117" i="1"/>
  <c r="P1116" i="1"/>
  <c r="N1116" i="1"/>
  <c r="M1116" i="1"/>
  <c r="P1115" i="1"/>
  <c r="N1115" i="1"/>
  <c r="M1115" i="1"/>
  <c r="N1114" i="1"/>
  <c r="M1114" i="1"/>
  <c r="P1113" i="1"/>
  <c r="N1113" i="1"/>
  <c r="M1113" i="1"/>
  <c r="P1112" i="1"/>
  <c r="N1112" i="1"/>
  <c r="M1112" i="1"/>
  <c r="P1111" i="1"/>
  <c r="N1111" i="1"/>
  <c r="M1111" i="1"/>
  <c r="N1110" i="1"/>
  <c r="M1110" i="1"/>
  <c r="P1109" i="1"/>
  <c r="N1109" i="1"/>
  <c r="M1109" i="1"/>
  <c r="P1108" i="1"/>
  <c r="N1108" i="1"/>
  <c r="M1108" i="1"/>
  <c r="N1107" i="1"/>
  <c r="M1107" i="1"/>
  <c r="P1106" i="1"/>
  <c r="N1106" i="1"/>
  <c r="M1106" i="1"/>
  <c r="P1105" i="1"/>
  <c r="N1105" i="1"/>
  <c r="M1105" i="1"/>
  <c r="N1104" i="1"/>
  <c r="M1104" i="1"/>
  <c r="P1103" i="1"/>
  <c r="N1103" i="1"/>
  <c r="M1103" i="1"/>
  <c r="P1102" i="1"/>
  <c r="N1102" i="1"/>
  <c r="M1102" i="1"/>
  <c r="N1101" i="1"/>
  <c r="M1101" i="1"/>
  <c r="N1100" i="1"/>
  <c r="M1100" i="1"/>
  <c r="P1099" i="1"/>
  <c r="N1099" i="1"/>
  <c r="M1099" i="1"/>
  <c r="P1098" i="1"/>
  <c r="N1098" i="1"/>
  <c r="M1098" i="1"/>
  <c r="N1097" i="1"/>
  <c r="M1097" i="1"/>
  <c r="P1096" i="1"/>
  <c r="N1096" i="1"/>
  <c r="M1096" i="1"/>
  <c r="P1095" i="1"/>
  <c r="N1095" i="1"/>
  <c r="M1095" i="1"/>
  <c r="N1094" i="1"/>
  <c r="M1094" i="1"/>
  <c r="P1093" i="1"/>
  <c r="N1093" i="1"/>
  <c r="M1093" i="1"/>
  <c r="P1092" i="1"/>
  <c r="N1092" i="1"/>
  <c r="M1092" i="1"/>
  <c r="N1091" i="1"/>
  <c r="M1091" i="1"/>
  <c r="N1090" i="1"/>
  <c r="M1090" i="1"/>
  <c r="N1089" i="1"/>
  <c r="M1089" i="1"/>
  <c r="P1088" i="1"/>
  <c r="N1088" i="1"/>
  <c r="M1088" i="1"/>
  <c r="P1087" i="1"/>
  <c r="N1087" i="1"/>
  <c r="M1087" i="1"/>
  <c r="P1086" i="1"/>
  <c r="N1086" i="1"/>
  <c r="M1086" i="1"/>
  <c r="P1085" i="1"/>
  <c r="N1085" i="1"/>
  <c r="M1085" i="1"/>
  <c r="N1084" i="1"/>
  <c r="M1084" i="1"/>
  <c r="P1083" i="1"/>
  <c r="N1083" i="1"/>
  <c r="M1083" i="1"/>
  <c r="P1082" i="1"/>
  <c r="N1082" i="1"/>
  <c r="M1082" i="1"/>
  <c r="N1081" i="1"/>
  <c r="M1081" i="1"/>
  <c r="N1080" i="1"/>
  <c r="M1080" i="1"/>
  <c r="N1079" i="1"/>
  <c r="M1079" i="1"/>
  <c r="N1078" i="1"/>
  <c r="M1078" i="1"/>
  <c r="P1077" i="1"/>
  <c r="N1077" i="1"/>
  <c r="M1077" i="1"/>
  <c r="P1076" i="1"/>
  <c r="N1076" i="1"/>
  <c r="M1076" i="1"/>
  <c r="P1075" i="1"/>
  <c r="N1075" i="1"/>
  <c r="M1075" i="1"/>
  <c r="N1074" i="1"/>
  <c r="M1074" i="1"/>
  <c r="P1073" i="1"/>
  <c r="N1073" i="1"/>
  <c r="M1073" i="1"/>
  <c r="P1072" i="1"/>
  <c r="N1072" i="1"/>
  <c r="M1072" i="1"/>
  <c r="N1071" i="1"/>
  <c r="M1071" i="1"/>
  <c r="N1070" i="1"/>
  <c r="M1070" i="1"/>
  <c r="P1069" i="1"/>
  <c r="N1069" i="1"/>
  <c r="M1069" i="1"/>
  <c r="P1068" i="1"/>
  <c r="N1068" i="1"/>
  <c r="M1068" i="1"/>
  <c r="P1067" i="1"/>
  <c r="N1067" i="1"/>
  <c r="M1067" i="1"/>
  <c r="P1066" i="1"/>
  <c r="N1066" i="1"/>
  <c r="M1066" i="1"/>
  <c r="P1065" i="1"/>
  <c r="N1065" i="1"/>
  <c r="M1065" i="1"/>
  <c r="N1064" i="1"/>
  <c r="M1064" i="1"/>
  <c r="P1063" i="1"/>
  <c r="N1063" i="1"/>
  <c r="M1063" i="1"/>
  <c r="P1062" i="1"/>
  <c r="N1062" i="1"/>
  <c r="M1062" i="1"/>
  <c r="P1061" i="1"/>
  <c r="N1061" i="1"/>
  <c r="M1061" i="1"/>
  <c r="N1060" i="1"/>
  <c r="M1060" i="1"/>
  <c r="P1059" i="1"/>
  <c r="N1059" i="1"/>
  <c r="M1059" i="1"/>
  <c r="P1058" i="1"/>
  <c r="N1058" i="1"/>
  <c r="M1058" i="1"/>
  <c r="N1057" i="1"/>
  <c r="M1057" i="1"/>
  <c r="P1056" i="1"/>
  <c r="N1056" i="1"/>
  <c r="M1056" i="1"/>
  <c r="P1055" i="1"/>
  <c r="N1055" i="1"/>
  <c r="M1055" i="1"/>
  <c r="N1054" i="1"/>
  <c r="M1054" i="1"/>
  <c r="P1053" i="1"/>
  <c r="N1053" i="1"/>
  <c r="M1053" i="1"/>
  <c r="P1052" i="1"/>
  <c r="N1052" i="1"/>
  <c r="M1052" i="1"/>
  <c r="N1051" i="1"/>
  <c r="M1051" i="1"/>
  <c r="N1050" i="1"/>
  <c r="M1050" i="1"/>
  <c r="P1049" i="1"/>
  <c r="N1049" i="1"/>
  <c r="M1049" i="1"/>
  <c r="P1048" i="1"/>
  <c r="N1048" i="1"/>
  <c r="M1048" i="1"/>
  <c r="N1047" i="1"/>
  <c r="M1047" i="1"/>
  <c r="P1046" i="1"/>
  <c r="N1046" i="1"/>
  <c r="M1046" i="1"/>
  <c r="P1045" i="1"/>
  <c r="N1045" i="1"/>
  <c r="M1045" i="1"/>
  <c r="N1044" i="1"/>
  <c r="M1044" i="1"/>
  <c r="P1043" i="1"/>
  <c r="N1043" i="1"/>
  <c r="M1043" i="1"/>
  <c r="P1042" i="1"/>
  <c r="N1042" i="1"/>
  <c r="M1042" i="1"/>
  <c r="N1041" i="1"/>
  <c r="M1041" i="1"/>
  <c r="N1040" i="1"/>
  <c r="M1040" i="1"/>
  <c r="N1039" i="1"/>
  <c r="M1039" i="1"/>
  <c r="P1038" i="1"/>
  <c r="N1038" i="1"/>
  <c r="M1038" i="1"/>
  <c r="P1037" i="1"/>
  <c r="N1037" i="1"/>
  <c r="M1037" i="1"/>
  <c r="P1036" i="1"/>
  <c r="N1036" i="1"/>
  <c r="M1036" i="1"/>
  <c r="P1035" i="1"/>
  <c r="N1035" i="1"/>
  <c r="M1035" i="1"/>
  <c r="N1034" i="1"/>
  <c r="M1034" i="1"/>
  <c r="P1033" i="1"/>
  <c r="N1033" i="1"/>
  <c r="M1033" i="1"/>
  <c r="P1032" i="1"/>
  <c r="N1032" i="1"/>
  <c r="M1032" i="1"/>
  <c r="N1031" i="1"/>
  <c r="M1031" i="1"/>
  <c r="N1030" i="1"/>
  <c r="M1030" i="1"/>
  <c r="N1029" i="1"/>
  <c r="M1029" i="1"/>
  <c r="N1028" i="1"/>
  <c r="M1028" i="1"/>
  <c r="P1027" i="1"/>
  <c r="N1027" i="1"/>
  <c r="M1027" i="1"/>
  <c r="P1026" i="1"/>
  <c r="N1026" i="1"/>
  <c r="M1026" i="1"/>
  <c r="P1025" i="1"/>
  <c r="N1025" i="1"/>
  <c r="M1025" i="1"/>
  <c r="N1024" i="1"/>
  <c r="M1024" i="1"/>
  <c r="P1023" i="1"/>
  <c r="N1023" i="1"/>
  <c r="M1023" i="1"/>
  <c r="P1022" i="1"/>
  <c r="N1022" i="1"/>
  <c r="M1022" i="1"/>
  <c r="N1021" i="1"/>
  <c r="M1021" i="1"/>
  <c r="P1020" i="1"/>
  <c r="N1020" i="1"/>
  <c r="M1020" i="1"/>
  <c r="P1019" i="1"/>
  <c r="N1019" i="1"/>
  <c r="M1019" i="1"/>
  <c r="N1018" i="1"/>
  <c r="M1018" i="1"/>
  <c r="P1017" i="1"/>
  <c r="N1017" i="1"/>
  <c r="M1017" i="1"/>
  <c r="P1016" i="1"/>
  <c r="N1016" i="1"/>
  <c r="M1016" i="1"/>
  <c r="P1015" i="1"/>
  <c r="N1015" i="1"/>
  <c r="M1015" i="1"/>
  <c r="N1014" i="1"/>
  <c r="M1014" i="1"/>
  <c r="P1013" i="1"/>
  <c r="N1013" i="1"/>
  <c r="M1013" i="1"/>
  <c r="P1012" i="1"/>
  <c r="N1012" i="1"/>
  <c r="M1012" i="1"/>
  <c r="N1011" i="1"/>
  <c r="M1011" i="1"/>
  <c r="P1010" i="1"/>
  <c r="N1010" i="1"/>
  <c r="M1010" i="1"/>
  <c r="P1009" i="1"/>
  <c r="N1009" i="1"/>
  <c r="M1009" i="1"/>
  <c r="P1008" i="1"/>
  <c r="N1008" i="1"/>
  <c r="M1008" i="1"/>
  <c r="P1007" i="1"/>
  <c r="N1007" i="1"/>
  <c r="M1007" i="1"/>
  <c r="P1006" i="1"/>
  <c r="N1006" i="1"/>
  <c r="M1006" i="1"/>
  <c r="P1005" i="1"/>
  <c r="N1005" i="1"/>
  <c r="M1005" i="1"/>
  <c r="N1004" i="1"/>
  <c r="M1004" i="1"/>
  <c r="P1003" i="1"/>
  <c r="N1003" i="1"/>
  <c r="M1003" i="1"/>
  <c r="P1002" i="1"/>
  <c r="N1002" i="1"/>
  <c r="M1002" i="1"/>
  <c r="P1001" i="1"/>
  <c r="N1001" i="1"/>
  <c r="M1001" i="1"/>
  <c r="P1000" i="1"/>
  <c r="N1000" i="1"/>
  <c r="M1000" i="1"/>
  <c r="P999" i="1"/>
  <c r="N999" i="1"/>
  <c r="M999" i="1"/>
  <c r="N998" i="1"/>
  <c r="M998" i="1"/>
  <c r="N997" i="1"/>
  <c r="M997" i="1"/>
  <c r="P996" i="1"/>
  <c r="N996" i="1"/>
  <c r="M996" i="1"/>
  <c r="P995" i="1"/>
  <c r="N995" i="1"/>
  <c r="M995" i="1"/>
  <c r="N994" i="1"/>
  <c r="M994" i="1"/>
  <c r="P993" i="1"/>
  <c r="N993" i="1"/>
  <c r="M993" i="1"/>
  <c r="P992" i="1"/>
  <c r="N992" i="1"/>
  <c r="M992" i="1"/>
  <c r="N991" i="1"/>
  <c r="M991" i="1"/>
  <c r="P990" i="1"/>
  <c r="N990" i="1"/>
  <c r="M990" i="1"/>
  <c r="P989" i="1"/>
  <c r="N989" i="1"/>
  <c r="M989" i="1"/>
  <c r="P988" i="1"/>
  <c r="N988" i="1"/>
  <c r="M988" i="1"/>
  <c r="N987" i="1"/>
  <c r="M987" i="1"/>
  <c r="P986" i="1"/>
  <c r="N986" i="1"/>
  <c r="M986" i="1"/>
  <c r="P985" i="1"/>
  <c r="N985" i="1"/>
  <c r="M985" i="1"/>
  <c r="N984" i="1"/>
  <c r="M984" i="1"/>
  <c r="P983" i="1"/>
  <c r="N983" i="1"/>
  <c r="M983" i="1"/>
  <c r="P982" i="1"/>
  <c r="N982" i="1"/>
  <c r="M982" i="1"/>
  <c r="P981" i="1"/>
  <c r="N981" i="1"/>
  <c r="M981" i="1"/>
  <c r="P980" i="1"/>
  <c r="N980" i="1"/>
  <c r="M980" i="1"/>
  <c r="P979" i="1"/>
  <c r="N979" i="1"/>
  <c r="M979" i="1"/>
  <c r="P978" i="1"/>
  <c r="N978" i="1"/>
  <c r="M978" i="1"/>
  <c r="P977" i="1"/>
  <c r="N977" i="1"/>
  <c r="M977" i="1"/>
  <c r="P976" i="1"/>
  <c r="N976" i="1"/>
  <c r="M976" i="1"/>
  <c r="P975" i="1"/>
  <c r="N975" i="1"/>
  <c r="M975" i="1"/>
  <c r="N974" i="1"/>
  <c r="M974" i="1"/>
  <c r="P973" i="1"/>
  <c r="N973" i="1"/>
  <c r="M973" i="1"/>
  <c r="P972" i="1"/>
  <c r="N972" i="1"/>
  <c r="M972" i="1"/>
  <c r="P971" i="1"/>
  <c r="N971" i="1"/>
  <c r="M971" i="1"/>
  <c r="P970" i="1"/>
  <c r="N970" i="1"/>
  <c r="M970" i="1"/>
  <c r="P969" i="1"/>
  <c r="N969" i="1"/>
  <c r="M969" i="1"/>
  <c r="P968" i="1"/>
  <c r="N968" i="1"/>
  <c r="M968" i="1"/>
  <c r="N967" i="1"/>
  <c r="M967" i="1"/>
  <c r="P966" i="1"/>
  <c r="N966" i="1"/>
  <c r="M966" i="1"/>
  <c r="P965" i="1"/>
  <c r="N965" i="1"/>
  <c r="M965" i="1"/>
  <c r="N964" i="1"/>
  <c r="M964" i="1"/>
  <c r="P963" i="1"/>
  <c r="N963" i="1"/>
  <c r="M963" i="1"/>
  <c r="P962" i="1"/>
  <c r="N962" i="1"/>
  <c r="M962" i="1"/>
  <c r="N961" i="1"/>
  <c r="M961" i="1"/>
  <c r="P960" i="1"/>
  <c r="N960" i="1"/>
  <c r="M960" i="1"/>
  <c r="N959" i="1"/>
  <c r="M959" i="1"/>
  <c r="P958" i="1"/>
  <c r="N958" i="1"/>
  <c r="M958" i="1"/>
  <c r="P957" i="1"/>
  <c r="N957" i="1"/>
  <c r="M957" i="1"/>
  <c r="P956" i="1"/>
  <c r="N956" i="1"/>
  <c r="M956" i="1"/>
  <c r="P955" i="1"/>
  <c r="N955" i="1"/>
  <c r="M955" i="1"/>
  <c r="N954" i="1"/>
  <c r="M954" i="1"/>
  <c r="P953" i="1"/>
  <c r="N953" i="1"/>
  <c r="M953" i="1"/>
  <c r="P952" i="1"/>
  <c r="N952" i="1"/>
  <c r="M952" i="1"/>
  <c r="N951" i="1"/>
  <c r="M951" i="1"/>
  <c r="P950" i="1"/>
  <c r="N950" i="1"/>
  <c r="M950" i="1"/>
  <c r="N949" i="1"/>
  <c r="M949" i="1"/>
  <c r="P948" i="1"/>
  <c r="N948" i="1"/>
  <c r="M948" i="1"/>
  <c r="P947" i="1"/>
  <c r="N947" i="1"/>
  <c r="M947" i="1"/>
  <c r="P946" i="1"/>
  <c r="N946" i="1"/>
  <c r="M946" i="1"/>
  <c r="P945" i="1"/>
  <c r="N945" i="1"/>
  <c r="M945" i="1"/>
  <c r="N944" i="1"/>
  <c r="M944" i="1"/>
  <c r="P943" i="1"/>
  <c r="N943" i="1"/>
  <c r="M943" i="1"/>
  <c r="P942" i="1"/>
  <c r="N942" i="1"/>
  <c r="M942" i="1"/>
  <c r="N941" i="1"/>
  <c r="M941" i="1"/>
  <c r="P940" i="1"/>
  <c r="N940" i="1"/>
  <c r="M940" i="1"/>
  <c r="P939" i="1"/>
  <c r="N939" i="1"/>
  <c r="M939" i="1"/>
  <c r="P938" i="1"/>
  <c r="N938" i="1"/>
  <c r="M938" i="1"/>
  <c r="P937" i="1"/>
  <c r="N937" i="1"/>
  <c r="M937" i="1"/>
  <c r="P936" i="1"/>
  <c r="N936" i="1"/>
  <c r="M936" i="1"/>
  <c r="P935" i="1"/>
  <c r="N935" i="1"/>
  <c r="M935" i="1"/>
  <c r="N934" i="1"/>
  <c r="M934" i="1"/>
  <c r="P933" i="1"/>
  <c r="N933" i="1"/>
  <c r="M933" i="1"/>
  <c r="P932" i="1"/>
  <c r="N932" i="1"/>
  <c r="M932" i="1"/>
  <c r="N931" i="1"/>
  <c r="M931" i="1"/>
  <c r="P930" i="1"/>
  <c r="N930" i="1"/>
  <c r="M930" i="1"/>
  <c r="N929" i="1"/>
  <c r="M929" i="1"/>
  <c r="N928" i="1"/>
  <c r="M928" i="1"/>
  <c r="P927" i="1"/>
  <c r="N927" i="1"/>
  <c r="M927" i="1"/>
  <c r="P926" i="1"/>
  <c r="N926" i="1"/>
  <c r="M926" i="1"/>
  <c r="P925" i="1"/>
  <c r="N925" i="1"/>
  <c r="M925" i="1"/>
  <c r="N924" i="1"/>
  <c r="M924" i="1"/>
  <c r="P923" i="1"/>
  <c r="N923" i="1"/>
  <c r="M923" i="1"/>
  <c r="P922" i="1"/>
  <c r="N922" i="1"/>
  <c r="M922" i="1"/>
  <c r="N921" i="1"/>
  <c r="M921" i="1"/>
  <c r="P920" i="1"/>
  <c r="N920" i="1"/>
  <c r="M920" i="1"/>
  <c r="P919" i="1"/>
  <c r="N919" i="1"/>
  <c r="M919" i="1"/>
  <c r="N918" i="1"/>
  <c r="M918" i="1"/>
  <c r="P917" i="1"/>
  <c r="N917" i="1"/>
  <c r="M917" i="1"/>
  <c r="P916" i="1"/>
  <c r="N916" i="1"/>
  <c r="M916" i="1"/>
  <c r="P915" i="1"/>
  <c r="N915" i="1"/>
  <c r="M915" i="1"/>
  <c r="N914" i="1"/>
  <c r="M914" i="1"/>
  <c r="P913" i="1"/>
  <c r="N913" i="1"/>
  <c r="M913" i="1"/>
  <c r="P912" i="1"/>
  <c r="N912" i="1"/>
  <c r="M912" i="1"/>
  <c r="N911" i="1"/>
  <c r="M911" i="1"/>
  <c r="P910" i="1"/>
  <c r="N910" i="1"/>
  <c r="M910" i="1"/>
  <c r="P909" i="1"/>
  <c r="N909" i="1"/>
  <c r="M909" i="1"/>
  <c r="P908" i="1"/>
  <c r="N908" i="1"/>
  <c r="M908" i="1"/>
  <c r="P907" i="1"/>
  <c r="N907" i="1"/>
  <c r="M907" i="1"/>
  <c r="P906" i="1"/>
  <c r="N906" i="1"/>
  <c r="M906" i="1"/>
  <c r="P905" i="1"/>
  <c r="N905" i="1"/>
  <c r="M905" i="1"/>
  <c r="N904" i="1"/>
  <c r="M904" i="1"/>
  <c r="P903" i="1"/>
  <c r="N903" i="1"/>
  <c r="M903" i="1"/>
  <c r="P902" i="1"/>
  <c r="N902" i="1"/>
  <c r="M902" i="1"/>
  <c r="P901" i="1"/>
  <c r="N901" i="1"/>
  <c r="M901" i="1"/>
  <c r="P900" i="1"/>
  <c r="N900" i="1"/>
  <c r="M900" i="1"/>
  <c r="P899" i="1"/>
  <c r="N899" i="1"/>
  <c r="M899" i="1"/>
  <c r="N898" i="1"/>
  <c r="M898" i="1"/>
  <c r="N897" i="1"/>
  <c r="M897" i="1"/>
  <c r="P896" i="1"/>
  <c r="N896" i="1"/>
  <c r="M896" i="1"/>
  <c r="P895" i="1"/>
  <c r="N895" i="1"/>
  <c r="M895" i="1"/>
  <c r="N894" i="1"/>
  <c r="M894" i="1"/>
  <c r="P893" i="1"/>
  <c r="N893" i="1"/>
  <c r="M893" i="1"/>
  <c r="P892" i="1"/>
  <c r="N892" i="1"/>
  <c r="M892" i="1"/>
  <c r="N891" i="1"/>
  <c r="M891" i="1"/>
  <c r="P890" i="1"/>
  <c r="N890" i="1"/>
  <c r="M890" i="1"/>
  <c r="P889" i="1"/>
  <c r="N889" i="1"/>
  <c r="M889" i="1"/>
  <c r="P888" i="1"/>
  <c r="N888" i="1"/>
  <c r="M888" i="1"/>
  <c r="N887" i="1"/>
  <c r="M887" i="1"/>
  <c r="P886" i="1"/>
  <c r="N886" i="1"/>
  <c r="M886" i="1"/>
  <c r="P885" i="1"/>
  <c r="N885" i="1"/>
  <c r="M885" i="1"/>
  <c r="N884" i="1"/>
  <c r="M884" i="1"/>
  <c r="P883" i="1"/>
  <c r="N883" i="1"/>
  <c r="M883" i="1"/>
  <c r="P882" i="1"/>
  <c r="N882" i="1"/>
  <c r="M882" i="1"/>
  <c r="P881" i="1"/>
  <c r="N881" i="1"/>
  <c r="M881" i="1"/>
  <c r="P880" i="1"/>
  <c r="N880" i="1"/>
  <c r="M880" i="1"/>
  <c r="P879" i="1"/>
  <c r="N879" i="1"/>
  <c r="M879" i="1"/>
  <c r="P878" i="1"/>
  <c r="N878" i="1"/>
  <c r="M878" i="1"/>
  <c r="P877" i="1"/>
  <c r="N877" i="1"/>
  <c r="M877" i="1"/>
  <c r="P876" i="1"/>
  <c r="N876" i="1"/>
  <c r="M876" i="1"/>
  <c r="P875" i="1"/>
  <c r="N875" i="1"/>
  <c r="M875" i="1"/>
  <c r="N874" i="1"/>
  <c r="M874" i="1"/>
  <c r="P873" i="1"/>
  <c r="N873" i="1"/>
  <c r="M873" i="1"/>
  <c r="P872" i="1"/>
  <c r="N872" i="1"/>
  <c r="M872" i="1"/>
  <c r="P871" i="1"/>
  <c r="N871" i="1"/>
  <c r="M871" i="1"/>
  <c r="P870" i="1"/>
  <c r="N870" i="1"/>
  <c r="M870" i="1"/>
  <c r="P869" i="1"/>
  <c r="N869" i="1"/>
  <c r="M869" i="1"/>
  <c r="P868" i="1"/>
  <c r="N868" i="1"/>
  <c r="M868" i="1"/>
  <c r="N867" i="1"/>
  <c r="M867" i="1"/>
  <c r="P866" i="1"/>
  <c r="N866" i="1"/>
  <c r="M866" i="1"/>
  <c r="P865" i="1"/>
  <c r="N865" i="1"/>
  <c r="M865" i="1"/>
  <c r="N864" i="1"/>
  <c r="M864" i="1"/>
  <c r="P863" i="1"/>
  <c r="N863" i="1"/>
  <c r="M863" i="1"/>
  <c r="P862" i="1"/>
  <c r="N862" i="1"/>
  <c r="M862" i="1"/>
  <c r="P861" i="1"/>
  <c r="N861" i="1"/>
  <c r="M861" i="1"/>
  <c r="P860" i="1"/>
  <c r="N860" i="1"/>
  <c r="M860" i="1"/>
  <c r="N859" i="1"/>
  <c r="M859" i="1"/>
  <c r="P858" i="1"/>
  <c r="N858" i="1"/>
  <c r="M858" i="1"/>
  <c r="P857" i="1"/>
  <c r="N857" i="1"/>
  <c r="M857" i="1"/>
  <c r="P856" i="1"/>
  <c r="N856" i="1"/>
  <c r="M856" i="1"/>
  <c r="P855" i="1"/>
  <c r="N855" i="1"/>
  <c r="M855" i="1"/>
  <c r="N854" i="1"/>
  <c r="M854" i="1"/>
  <c r="P853" i="1"/>
  <c r="N853" i="1"/>
  <c r="M853" i="1"/>
  <c r="P852" i="1"/>
  <c r="N852" i="1"/>
  <c r="M852" i="1"/>
  <c r="P851" i="1"/>
  <c r="N851" i="1"/>
  <c r="M851" i="1"/>
  <c r="P850" i="1"/>
  <c r="N850" i="1"/>
  <c r="M850" i="1"/>
  <c r="N849" i="1"/>
  <c r="M849" i="1"/>
  <c r="P848" i="1"/>
  <c r="N848" i="1"/>
  <c r="M848" i="1"/>
  <c r="P847" i="1"/>
  <c r="N847" i="1"/>
  <c r="M847" i="1"/>
  <c r="P846" i="1"/>
  <c r="N846" i="1"/>
  <c r="M846" i="1"/>
  <c r="P845" i="1"/>
  <c r="N845" i="1"/>
  <c r="M845" i="1"/>
  <c r="N844" i="1"/>
  <c r="M844" i="1"/>
  <c r="P843" i="1"/>
  <c r="N843" i="1"/>
  <c r="M843" i="1"/>
  <c r="P842" i="1"/>
  <c r="N842" i="1"/>
  <c r="M842" i="1"/>
  <c r="P841" i="1"/>
  <c r="N841" i="1"/>
  <c r="M841" i="1"/>
  <c r="P840" i="1"/>
  <c r="N840" i="1"/>
  <c r="M840" i="1"/>
  <c r="P839" i="1"/>
  <c r="N839" i="1"/>
  <c r="M839" i="1"/>
  <c r="P838" i="1"/>
  <c r="N838" i="1"/>
  <c r="M838" i="1"/>
  <c r="P837" i="1"/>
  <c r="N837" i="1"/>
  <c r="M837" i="1"/>
  <c r="P836" i="1"/>
  <c r="N836" i="1"/>
  <c r="M836" i="1"/>
  <c r="P835" i="1"/>
  <c r="N835" i="1"/>
  <c r="M835" i="1"/>
  <c r="N834" i="1"/>
  <c r="M834" i="1"/>
  <c r="P833" i="1"/>
  <c r="N833" i="1"/>
  <c r="M833" i="1"/>
  <c r="P832" i="1"/>
  <c r="N832" i="1"/>
  <c r="M832" i="1"/>
  <c r="P831" i="1"/>
  <c r="N831" i="1"/>
  <c r="M831" i="1"/>
  <c r="P830" i="1"/>
  <c r="N830" i="1"/>
  <c r="M830" i="1"/>
  <c r="N829" i="1"/>
  <c r="M829" i="1"/>
  <c r="N828" i="1"/>
  <c r="M828" i="1"/>
  <c r="P827" i="1"/>
  <c r="N827" i="1"/>
  <c r="M827" i="1"/>
  <c r="P826" i="1"/>
  <c r="N826" i="1"/>
  <c r="M826" i="1"/>
  <c r="P825" i="1"/>
  <c r="N825" i="1"/>
  <c r="M825" i="1"/>
  <c r="N824" i="1"/>
  <c r="M824" i="1"/>
  <c r="P823" i="1"/>
  <c r="N823" i="1"/>
  <c r="M823" i="1"/>
  <c r="P822" i="1"/>
  <c r="N822" i="1"/>
  <c r="M822" i="1"/>
  <c r="N821" i="1"/>
  <c r="M821" i="1"/>
  <c r="P820" i="1"/>
  <c r="N820" i="1"/>
  <c r="M820" i="1"/>
  <c r="P819" i="1"/>
  <c r="N819" i="1"/>
  <c r="M819" i="1"/>
  <c r="N818" i="1"/>
  <c r="M818" i="1"/>
  <c r="P817" i="1"/>
  <c r="N817" i="1"/>
  <c r="M817" i="1"/>
  <c r="P816" i="1"/>
  <c r="N816" i="1"/>
  <c r="M816" i="1"/>
  <c r="P815" i="1"/>
  <c r="N815" i="1"/>
  <c r="M815" i="1"/>
  <c r="N814" i="1"/>
  <c r="M814" i="1"/>
  <c r="P813" i="1"/>
  <c r="N813" i="1"/>
  <c r="M813" i="1"/>
  <c r="P812" i="1"/>
  <c r="N812" i="1"/>
  <c r="M812" i="1"/>
  <c r="N811" i="1"/>
  <c r="M811" i="1"/>
  <c r="P810" i="1"/>
  <c r="N810" i="1"/>
  <c r="M810" i="1"/>
  <c r="P809" i="1"/>
  <c r="N809" i="1"/>
  <c r="M809" i="1"/>
  <c r="P808" i="1"/>
  <c r="N808" i="1"/>
  <c r="M808" i="1"/>
  <c r="P807" i="1"/>
  <c r="N807" i="1"/>
  <c r="M807" i="1"/>
  <c r="P806" i="1"/>
  <c r="N806" i="1"/>
  <c r="M806" i="1"/>
  <c r="P805" i="1"/>
  <c r="N805" i="1"/>
  <c r="M805" i="1"/>
  <c r="N804" i="1"/>
  <c r="M804" i="1"/>
  <c r="P803" i="1"/>
  <c r="N803" i="1"/>
  <c r="M803" i="1"/>
  <c r="P802" i="1"/>
  <c r="N802" i="1"/>
  <c r="M802" i="1"/>
  <c r="P801" i="1"/>
  <c r="N801" i="1"/>
  <c r="M801" i="1"/>
  <c r="P800" i="1"/>
  <c r="N800" i="1"/>
  <c r="M800" i="1"/>
  <c r="P799" i="1"/>
  <c r="N799" i="1"/>
  <c r="M799" i="1"/>
  <c r="N798" i="1"/>
  <c r="M798" i="1"/>
  <c r="N797" i="1"/>
  <c r="M797" i="1"/>
  <c r="P796" i="1"/>
  <c r="N796" i="1"/>
  <c r="M796" i="1"/>
  <c r="P795" i="1"/>
  <c r="N795" i="1"/>
  <c r="M795" i="1"/>
  <c r="N794" i="1"/>
  <c r="M794" i="1"/>
  <c r="P793" i="1"/>
  <c r="N793" i="1"/>
  <c r="M793" i="1"/>
  <c r="P792" i="1"/>
  <c r="N792" i="1"/>
  <c r="M792" i="1"/>
  <c r="N791" i="1"/>
  <c r="M791" i="1"/>
  <c r="P790" i="1"/>
  <c r="N790" i="1"/>
  <c r="M790" i="1"/>
  <c r="P789" i="1"/>
  <c r="N789" i="1"/>
  <c r="M789" i="1"/>
  <c r="P788" i="1"/>
  <c r="N788" i="1"/>
  <c r="M788" i="1"/>
  <c r="N787" i="1"/>
  <c r="M787" i="1"/>
  <c r="P786" i="1"/>
  <c r="N786" i="1"/>
  <c r="M786" i="1"/>
  <c r="P785" i="1"/>
  <c r="N785" i="1"/>
  <c r="M785" i="1"/>
  <c r="N784" i="1"/>
  <c r="M784" i="1"/>
  <c r="P783" i="1"/>
  <c r="N783" i="1"/>
  <c r="M783" i="1"/>
  <c r="P782" i="1"/>
  <c r="N782" i="1"/>
  <c r="M782" i="1"/>
  <c r="P781" i="1"/>
  <c r="N781" i="1"/>
  <c r="M781" i="1"/>
  <c r="P780" i="1"/>
  <c r="N780" i="1"/>
  <c r="M780" i="1"/>
  <c r="P779" i="1"/>
  <c r="N779" i="1"/>
  <c r="M779" i="1"/>
  <c r="P778" i="1"/>
  <c r="N778" i="1"/>
  <c r="M778" i="1"/>
  <c r="P777" i="1"/>
  <c r="N777" i="1"/>
  <c r="M777" i="1"/>
  <c r="P776" i="1"/>
  <c r="N776" i="1"/>
  <c r="M776" i="1"/>
  <c r="P775" i="1"/>
  <c r="N775" i="1"/>
  <c r="M775" i="1"/>
  <c r="N774" i="1"/>
  <c r="M774" i="1"/>
  <c r="P773" i="1"/>
  <c r="N773" i="1"/>
  <c r="M773" i="1"/>
  <c r="P772" i="1"/>
  <c r="N772" i="1"/>
  <c r="M772" i="1"/>
  <c r="P771" i="1"/>
  <c r="N771" i="1"/>
  <c r="M771" i="1"/>
  <c r="P770" i="1"/>
  <c r="N770" i="1"/>
  <c r="M770" i="1"/>
  <c r="P769" i="1"/>
  <c r="N769" i="1"/>
  <c r="M769" i="1"/>
  <c r="P768" i="1"/>
  <c r="N768" i="1"/>
  <c r="M768" i="1"/>
  <c r="N767" i="1"/>
  <c r="M767" i="1"/>
  <c r="P766" i="1"/>
  <c r="N766" i="1"/>
  <c r="M766" i="1"/>
  <c r="P765" i="1"/>
  <c r="N765" i="1"/>
  <c r="M765" i="1"/>
  <c r="N764" i="1"/>
  <c r="M764" i="1"/>
  <c r="P763" i="1"/>
  <c r="N763" i="1"/>
  <c r="M763" i="1"/>
  <c r="P762" i="1"/>
  <c r="N762" i="1"/>
  <c r="M762" i="1"/>
  <c r="P761" i="1"/>
  <c r="N761" i="1"/>
  <c r="M761" i="1"/>
  <c r="P760" i="1"/>
  <c r="N760" i="1"/>
  <c r="M760" i="1"/>
  <c r="N759" i="1"/>
  <c r="M759" i="1"/>
  <c r="P758" i="1"/>
  <c r="N758" i="1"/>
  <c r="M758" i="1"/>
  <c r="P757" i="1"/>
  <c r="N757" i="1"/>
  <c r="M757" i="1"/>
  <c r="P756" i="1"/>
  <c r="N756" i="1"/>
  <c r="M756" i="1"/>
  <c r="P755" i="1"/>
  <c r="N755" i="1"/>
  <c r="M755" i="1"/>
  <c r="N754" i="1"/>
  <c r="M754" i="1"/>
  <c r="P753" i="1"/>
  <c r="N753" i="1"/>
  <c r="M753" i="1"/>
  <c r="P752" i="1"/>
  <c r="N752" i="1"/>
  <c r="M752" i="1"/>
  <c r="P751" i="1"/>
  <c r="N751" i="1"/>
  <c r="M751" i="1"/>
  <c r="P750" i="1"/>
  <c r="N750" i="1"/>
  <c r="M750" i="1"/>
  <c r="N749" i="1"/>
  <c r="M749" i="1"/>
  <c r="P748" i="1"/>
  <c r="N748" i="1"/>
  <c r="M748" i="1"/>
  <c r="P747" i="1"/>
  <c r="N747" i="1"/>
  <c r="M747" i="1"/>
  <c r="P746" i="1"/>
  <c r="N746" i="1"/>
  <c r="M746" i="1"/>
  <c r="P745" i="1"/>
  <c r="N745" i="1"/>
  <c r="M745" i="1"/>
  <c r="N744" i="1"/>
  <c r="M744" i="1"/>
  <c r="P743" i="1"/>
  <c r="N743" i="1"/>
  <c r="M743" i="1"/>
  <c r="P742" i="1"/>
  <c r="N742" i="1"/>
  <c r="M742" i="1"/>
  <c r="P741" i="1"/>
  <c r="N741" i="1"/>
  <c r="M741" i="1"/>
  <c r="P740" i="1"/>
  <c r="N740" i="1"/>
  <c r="M740" i="1"/>
  <c r="P739" i="1"/>
  <c r="N739" i="1"/>
  <c r="M739" i="1"/>
  <c r="P738" i="1"/>
  <c r="N738" i="1"/>
  <c r="M738" i="1"/>
  <c r="P737" i="1"/>
  <c r="N737" i="1"/>
  <c r="M737" i="1"/>
  <c r="P736" i="1"/>
  <c r="N736" i="1"/>
  <c r="M736" i="1"/>
  <c r="P735" i="1"/>
  <c r="N735" i="1"/>
  <c r="M735" i="1"/>
  <c r="N734" i="1"/>
  <c r="M734" i="1"/>
  <c r="P733" i="1"/>
  <c r="N733" i="1"/>
  <c r="M733" i="1"/>
  <c r="P732" i="1"/>
  <c r="N732" i="1"/>
  <c r="M732" i="1"/>
  <c r="P731" i="1"/>
  <c r="N731" i="1"/>
  <c r="M731" i="1"/>
  <c r="P730" i="1"/>
  <c r="N730" i="1"/>
  <c r="M730" i="1"/>
  <c r="N729" i="1"/>
  <c r="M729" i="1"/>
  <c r="N728" i="1"/>
  <c r="M728" i="1"/>
  <c r="P727" i="1"/>
  <c r="N727" i="1"/>
  <c r="M727" i="1"/>
  <c r="P726" i="1"/>
  <c r="N726" i="1"/>
  <c r="M726" i="1"/>
  <c r="P725" i="1"/>
  <c r="N725" i="1"/>
  <c r="M725" i="1"/>
  <c r="N724" i="1"/>
  <c r="M724" i="1"/>
  <c r="P723" i="1"/>
  <c r="N723" i="1"/>
  <c r="M723" i="1"/>
  <c r="P722" i="1"/>
  <c r="N722" i="1"/>
  <c r="M722" i="1"/>
  <c r="N721" i="1"/>
  <c r="M721" i="1"/>
  <c r="P720" i="1"/>
  <c r="N720" i="1"/>
  <c r="M720" i="1"/>
  <c r="P719" i="1"/>
  <c r="N719" i="1"/>
  <c r="M719" i="1"/>
  <c r="N718" i="1"/>
  <c r="M718" i="1"/>
  <c r="P717" i="1"/>
  <c r="N717" i="1"/>
  <c r="M717" i="1"/>
  <c r="P716" i="1"/>
  <c r="N716" i="1"/>
  <c r="M716" i="1"/>
  <c r="P715" i="1"/>
  <c r="N715" i="1"/>
  <c r="M715" i="1"/>
  <c r="N714" i="1"/>
  <c r="M714" i="1"/>
  <c r="P713" i="1"/>
  <c r="N713" i="1"/>
  <c r="M713" i="1"/>
  <c r="P712" i="1"/>
  <c r="N712" i="1"/>
  <c r="M712" i="1"/>
  <c r="N711" i="1"/>
  <c r="M711" i="1"/>
  <c r="P710" i="1"/>
  <c r="N710" i="1"/>
  <c r="M710" i="1"/>
  <c r="P709" i="1"/>
  <c r="N709" i="1"/>
  <c r="M709" i="1"/>
  <c r="P708" i="1"/>
  <c r="N708" i="1"/>
  <c r="M708" i="1"/>
  <c r="P707" i="1"/>
  <c r="N707" i="1"/>
  <c r="M707" i="1"/>
  <c r="P706" i="1"/>
  <c r="N706" i="1"/>
  <c r="M706" i="1"/>
  <c r="P705" i="1"/>
  <c r="N705" i="1"/>
  <c r="M705" i="1"/>
  <c r="N704" i="1"/>
  <c r="M704" i="1"/>
  <c r="P703" i="1"/>
  <c r="N703" i="1"/>
  <c r="M703" i="1"/>
  <c r="P702" i="1"/>
  <c r="N702" i="1"/>
  <c r="M702" i="1"/>
  <c r="P701" i="1"/>
  <c r="N701" i="1"/>
  <c r="M701" i="1"/>
  <c r="P700" i="1"/>
  <c r="N700" i="1"/>
  <c r="M700" i="1"/>
  <c r="P699" i="1"/>
  <c r="N699" i="1"/>
  <c r="M699" i="1"/>
  <c r="N698" i="1"/>
  <c r="M698" i="1"/>
  <c r="N697" i="1"/>
  <c r="M697" i="1"/>
  <c r="P696" i="1"/>
  <c r="N696" i="1"/>
  <c r="M696" i="1"/>
  <c r="P695" i="1"/>
  <c r="N695" i="1"/>
  <c r="M695" i="1"/>
  <c r="N694" i="1"/>
  <c r="M694" i="1"/>
  <c r="P693" i="1"/>
  <c r="N693" i="1"/>
  <c r="M693" i="1"/>
  <c r="P692" i="1"/>
  <c r="N692" i="1"/>
  <c r="M692" i="1"/>
  <c r="N691" i="1"/>
  <c r="M691" i="1"/>
  <c r="P690" i="1"/>
  <c r="N690" i="1"/>
  <c r="M690" i="1"/>
  <c r="P689" i="1"/>
  <c r="N689" i="1"/>
  <c r="M689" i="1"/>
  <c r="P688" i="1"/>
  <c r="N688" i="1"/>
  <c r="M688" i="1"/>
  <c r="N687" i="1"/>
  <c r="M687" i="1"/>
  <c r="P686" i="1"/>
  <c r="N686" i="1"/>
  <c r="M686" i="1"/>
  <c r="P685" i="1"/>
  <c r="N685" i="1"/>
  <c r="M685" i="1"/>
  <c r="N684" i="1"/>
  <c r="M684" i="1"/>
  <c r="P683" i="1"/>
  <c r="N683" i="1"/>
  <c r="M683" i="1"/>
  <c r="P682" i="1"/>
  <c r="N682" i="1"/>
  <c r="M682" i="1"/>
  <c r="P681" i="1"/>
  <c r="N681" i="1"/>
  <c r="M681" i="1"/>
  <c r="P680" i="1"/>
  <c r="N680" i="1"/>
  <c r="M680" i="1"/>
  <c r="P679" i="1"/>
  <c r="N679" i="1"/>
  <c r="M679" i="1"/>
  <c r="P678" i="1"/>
  <c r="N678" i="1"/>
  <c r="M678" i="1"/>
  <c r="P677" i="1"/>
  <c r="N677" i="1"/>
  <c r="M677" i="1"/>
  <c r="P676" i="1"/>
  <c r="N676" i="1"/>
  <c r="M676" i="1"/>
  <c r="P675" i="1"/>
  <c r="N675" i="1"/>
  <c r="M675" i="1"/>
  <c r="N674" i="1"/>
  <c r="M674" i="1"/>
  <c r="P673" i="1"/>
  <c r="N673" i="1"/>
  <c r="M673" i="1"/>
  <c r="P672" i="1"/>
  <c r="N672" i="1"/>
  <c r="M672" i="1"/>
  <c r="P671" i="1"/>
  <c r="N671" i="1"/>
  <c r="M671" i="1"/>
  <c r="P670" i="1"/>
  <c r="N670" i="1"/>
  <c r="M670" i="1"/>
  <c r="P669" i="1"/>
  <c r="N669" i="1"/>
  <c r="M669" i="1"/>
  <c r="P668" i="1"/>
  <c r="N668" i="1"/>
  <c r="M668" i="1"/>
  <c r="N667" i="1"/>
  <c r="M667" i="1"/>
  <c r="P666" i="1"/>
  <c r="N666" i="1"/>
  <c r="M666" i="1"/>
  <c r="P665" i="1"/>
  <c r="N665" i="1"/>
  <c r="M665" i="1"/>
  <c r="N664" i="1"/>
  <c r="M664" i="1"/>
  <c r="P663" i="1"/>
  <c r="N663" i="1"/>
  <c r="M663" i="1"/>
  <c r="P662" i="1"/>
  <c r="N662" i="1"/>
  <c r="M662" i="1"/>
  <c r="P661" i="1"/>
  <c r="N661" i="1"/>
  <c r="M661" i="1"/>
  <c r="P660" i="1"/>
  <c r="N660" i="1"/>
  <c r="M660" i="1"/>
  <c r="P659" i="1"/>
  <c r="N659" i="1"/>
  <c r="M659" i="1"/>
  <c r="P658" i="1"/>
  <c r="N658" i="1"/>
  <c r="M658" i="1"/>
  <c r="P657" i="1"/>
  <c r="N657" i="1"/>
  <c r="M657" i="1"/>
  <c r="P656" i="1"/>
  <c r="N656" i="1"/>
  <c r="M656" i="1"/>
  <c r="P655" i="1"/>
  <c r="N655" i="1"/>
  <c r="M655" i="1"/>
  <c r="N654" i="1"/>
  <c r="M654" i="1"/>
  <c r="P653" i="1"/>
  <c r="N653" i="1"/>
  <c r="M653" i="1"/>
  <c r="P652" i="1"/>
  <c r="N652" i="1"/>
  <c r="M652" i="1"/>
  <c r="P651" i="1"/>
  <c r="N651" i="1"/>
  <c r="M651" i="1"/>
  <c r="P650" i="1"/>
  <c r="N650" i="1"/>
  <c r="M650" i="1"/>
  <c r="P649" i="1"/>
  <c r="N649" i="1"/>
  <c r="M649" i="1"/>
  <c r="P648" i="1"/>
  <c r="N648" i="1"/>
  <c r="M648" i="1"/>
  <c r="P647" i="1"/>
  <c r="N647" i="1"/>
  <c r="M647" i="1"/>
  <c r="P646" i="1"/>
  <c r="N646" i="1"/>
  <c r="M646" i="1"/>
  <c r="P645" i="1"/>
  <c r="N645" i="1"/>
  <c r="M645" i="1"/>
  <c r="N644" i="1"/>
  <c r="M644" i="1"/>
  <c r="P643" i="1"/>
  <c r="N643" i="1"/>
  <c r="M643" i="1"/>
  <c r="P642" i="1"/>
  <c r="N642" i="1"/>
  <c r="M642" i="1"/>
  <c r="P641" i="1"/>
  <c r="N641" i="1"/>
  <c r="M641" i="1"/>
  <c r="P640" i="1"/>
  <c r="N640" i="1"/>
  <c r="M640" i="1"/>
  <c r="P639" i="1"/>
  <c r="N639" i="1"/>
  <c r="M639" i="1"/>
  <c r="P638" i="1"/>
  <c r="N638" i="1"/>
  <c r="M638" i="1"/>
  <c r="P637" i="1"/>
  <c r="N637" i="1"/>
  <c r="M637" i="1"/>
  <c r="P636" i="1"/>
  <c r="N636" i="1"/>
  <c r="M636" i="1"/>
  <c r="P635" i="1"/>
  <c r="N635" i="1"/>
  <c r="M635" i="1"/>
  <c r="N634" i="1"/>
  <c r="M634" i="1"/>
  <c r="P633" i="1"/>
  <c r="N633" i="1"/>
  <c r="M633" i="1"/>
  <c r="P632" i="1"/>
  <c r="N632" i="1"/>
  <c r="M632" i="1"/>
  <c r="P631" i="1"/>
  <c r="N631" i="1"/>
  <c r="M631" i="1"/>
  <c r="P630" i="1"/>
  <c r="N630" i="1"/>
  <c r="M630" i="1"/>
  <c r="P629" i="1"/>
  <c r="N629" i="1"/>
  <c r="M629" i="1"/>
  <c r="P628" i="1"/>
  <c r="N628" i="1"/>
  <c r="M628" i="1"/>
  <c r="P627" i="1"/>
  <c r="N627" i="1"/>
  <c r="M627" i="1"/>
  <c r="P626" i="1"/>
  <c r="N626" i="1"/>
  <c r="M626" i="1"/>
  <c r="P625" i="1"/>
  <c r="N625" i="1"/>
  <c r="M625" i="1"/>
  <c r="N624" i="1"/>
  <c r="M624" i="1"/>
  <c r="P623" i="1"/>
  <c r="N623" i="1"/>
  <c r="M623" i="1"/>
  <c r="P622" i="1"/>
  <c r="N622" i="1"/>
  <c r="M622" i="1"/>
  <c r="N621" i="1"/>
  <c r="M621" i="1"/>
  <c r="P620" i="1"/>
  <c r="N620" i="1"/>
  <c r="M620" i="1"/>
  <c r="P619" i="1"/>
  <c r="N619" i="1"/>
  <c r="M619" i="1"/>
  <c r="P618" i="1"/>
  <c r="N618" i="1"/>
  <c r="M618" i="1"/>
  <c r="P617" i="1"/>
  <c r="N617" i="1"/>
  <c r="M617" i="1"/>
  <c r="P616" i="1"/>
  <c r="N616" i="1"/>
  <c r="M616" i="1"/>
  <c r="P615" i="1"/>
  <c r="N615" i="1"/>
  <c r="M615" i="1"/>
  <c r="N614" i="1"/>
  <c r="M614" i="1"/>
  <c r="P613" i="1"/>
  <c r="N613" i="1"/>
  <c r="M613" i="1"/>
  <c r="P612" i="1"/>
  <c r="N612" i="1"/>
  <c r="M612" i="1"/>
  <c r="N611" i="1"/>
  <c r="M611" i="1"/>
  <c r="P610" i="1"/>
  <c r="N610" i="1"/>
  <c r="M610" i="1"/>
  <c r="P609" i="1"/>
  <c r="N609" i="1"/>
  <c r="M609" i="1"/>
  <c r="P608" i="1"/>
  <c r="N608" i="1"/>
  <c r="M608" i="1"/>
  <c r="P607" i="1"/>
  <c r="N607" i="1"/>
  <c r="M607" i="1"/>
  <c r="P606" i="1"/>
  <c r="N606" i="1"/>
  <c r="M606" i="1"/>
  <c r="P605" i="1"/>
  <c r="N605" i="1"/>
  <c r="M605" i="1"/>
  <c r="N604" i="1"/>
  <c r="M604" i="1"/>
  <c r="P603" i="1"/>
  <c r="N603" i="1"/>
  <c r="M603" i="1"/>
  <c r="P602" i="1"/>
  <c r="N602" i="1"/>
  <c r="M602" i="1"/>
  <c r="P601" i="1"/>
  <c r="N601" i="1"/>
  <c r="M601" i="1"/>
  <c r="P600" i="1"/>
  <c r="N600" i="1"/>
  <c r="M600" i="1"/>
  <c r="P599" i="1"/>
  <c r="N599" i="1"/>
  <c r="M599" i="1"/>
  <c r="P598" i="1"/>
  <c r="N598" i="1"/>
  <c r="M598" i="1"/>
  <c r="P597" i="1"/>
  <c r="N597" i="1"/>
  <c r="M597" i="1"/>
  <c r="P596" i="1"/>
  <c r="N596" i="1"/>
  <c r="M596" i="1"/>
  <c r="P595" i="1"/>
  <c r="N595" i="1"/>
  <c r="M595" i="1"/>
  <c r="N594" i="1"/>
  <c r="M594" i="1"/>
  <c r="P593" i="1"/>
  <c r="N593" i="1"/>
  <c r="M593" i="1"/>
  <c r="P592" i="1"/>
  <c r="N592" i="1"/>
  <c r="M592" i="1"/>
  <c r="N591" i="1"/>
  <c r="M591" i="1"/>
  <c r="P590" i="1"/>
  <c r="N590" i="1"/>
  <c r="M590" i="1"/>
  <c r="P589" i="1"/>
  <c r="N589" i="1"/>
  <c r="M589" i="1"/>
  <c r="P588" i="1"/>
  <c r="N588" i="1"/>
  <c r="M588" i="1"/>
  <c r="P587" i="1"/>
  <c r="N587" i="1"/>
  <c r="M587" i="1"/>
  <c r="P586" i="1"/>
  <c r="N586" i="1"/>
  <c r="M586" i="1"/>
  <c r="P585" i="1"/>
  <c r="N585" i="1"/>
  <c r="M585" i="1"/>
  <c r="N584" i="1"/>
  <c r="M584" i="1"/>
  <c r="P583" i="1"/>
  <c r="N583" i="1"/>
  <c r="M583" i="1"/>
  <c r="P582" i="1"/>
  <c r="N582" i="1"/>
  <c r="M582" i="1"/>
  <c r="P581" i="1"/>
  <c r="N581" i="1"/>
  <c r="M581" i="1"/>
  <c r="P580" i="1"/>
  <c r="N580" i="1"/>
  <c r="M580" i="1"/>
  <c r="P579" i="1"/>
  <c r="N579" i="1"/>
  <c r="M579" i="1"/>
  <c r="P578" i="1"/>
  <c r="N578" i="1"/>
  <c r="M578" i="1"/>
  <c r="P577" i="1"/>
  <c r="N577" i="1"/>
  <c r="M577" i="1"/>
  <c r="P576" i="1"/>
  <c r="N576" i="1"/>
  <c r="M576" i="1"/>
  <c r="P575" i="1"/>
  <c r="N575" i="1"/>
  <c r="M575" i="1"/>
  <c r="N574" i="1"/>
  <c r="M574" i="1"/>
  <c r="P573" i="1"/>
  <c r="N573" i="1"/>
  <c r="M573" i="1"/>
  <c r="P572" i="1"/>
  <c r="N572" i="1"/>
  <c r="M572" i="1"/>
  <c r="P571" i="1"/>
  <c r="N571" i="1"/>
  <c r="M571" i="1"/>
  <c r="P570" i="1"/>
  <c r="N570" i="1"/>
  <c r="M570" i="1"/>
  <c r="P569" i="1"/>
  <c r="N569" i="1"/>
  <c r="M569" i="1"/>
  <c r="P568" i="1"/>
  <c r="N568" i="1"/>
  <c r="M568" i="1"/>
  <c r="P567" i="1"/>
  <c r="N567" i="1"/>
  <c r="M567" i="1"/>
  <c r="P566" i="1"/>
  <c r="N566" i="1"/>
  <c r="M566" i="1"/>
  <c r="P565" i="1"/>
  <c r="N565" i="1"/>
  <c r="M565" i="1"/>
  <c r="N564" i="1"/>
  <c r="M564" i="1"/>
  <c r="P563" i="1"/>
  <c r="N563" i="1"/>
  <c r="M563" i="1"/>
  <c r="P562" i="1"/>
  <c r="N562" i="1"/>
  <c r="M562" i="1"/>
  <c r="P561" i="1"/>
  <c r="N561" i="1"/>
  <c r="M561" i="1"/>
  <c r="P560" i="1"/>
  <c r="N560" i="1"/>
  <c r="M560" i="1"/>
  <c r="P559" i="1"/>
  <c r="N559" i="1"/>
  <c r="M559" i="1"/>
  <c r="P558" i="1"/>
  <c r="N558" i="1"/>
  <c r="M558" i="1"/>
  <c r="P557" i="1"/>
  <c r="N557" i="1"/>
  <c r="M557" i="1"/>
  <c r="P556" i="1"/>
  <c r="N556" i="1"/>
  <c r="M556" i="1"/>
  <c r="P555" i="1"/>
  <c r="N555" i="1"/>
  <c r="M555" i="1"/>
  <c r="N554" i="1"/>
  <c r="M554" i="1"/>
  <c r="P553" i="1"/>
  <c r="N553" i="1"/>
  <c r="M553" i="1"/>
  <c r="P552" i="1"/>
  <c r="N552" i="1"/>
  <c r="M552" i="1"/>
  <c r="P551" i="1"/>
  <c r="N551" i="1"/>
  <c r="M551" i="1"/>
  <c r="P550" i="1"/>
  <c r="N550" i="1"/>
  <c r="M550" i="1"/>
  <c r="P549" i="1"/>
  <c r="N549" i="1"/>
  <c r="M549" i="1"/>
  <c r="P548" i="1"/>
  <c r="N548" i="1"/>
  <c r="M548" i="1"/>
  <c r="P547" i="1"/>
  <c r="N547" i="1"/>
  <c r="M547" i="1"/>
  <c r="P546" i="1"/>
  <c r="N546" i="1"/>
  <c r="M546" i="1"/>
  <c r="P545" i="1"/>
  <c r="N545" i="1"/>
  <c r="M545" i="1"/>
  <c r="N544" i="1"/>
  <c r="M544" i="1"/>
  <c r="P543" i="1"/>
  <c r="N543" i="1"/>
  <c r="M543" i="1"/>
  <c r="P542" i="1"/>
  <c r="N542" i="1"/>
  <c r="M542" i="1"/>
  <c r="P541" i="1"/>
  <c r="N541" i="1"/>
  <c r="M541" i="1"/>
  <c r="P540" i="1"/>
  <c r="N540" i="1"/>
  <c r="M540" i="1"/>
  <c r="P539" i="1"/>
  <c r="N539" i="1"/>
  <c r="M539" i="1"/>
  <c r="P538" i="1"/>
  <c r="N538" i="1"/>
  <c r="M538" i="1"/>
  <c r="P537" i="1"/>
  <c r="N537" i="1"/>
  <c r="M537" i="1"/>
  <c r="P536" i="1"/>
  <c r="N536" i="1"/>
  <c r="M536" i="1"/>
  <c r="P535" i="1"/>
  <c r="N535" i="1"/>
  <c r="M535" i="1"/>
  <c r="N534" i="1"/>
  <c r="M534" i="1"/>
  <c r="P533" i="1"/>
  <c r="N533" i="1"/>
  <c r="M533" i="1"/>
  <c r="P532" i="1"/>
  <c r="N532" i="1"/>
  <c r="M532" i="1"/>
  <c r="P531" i="1"/>
  <c r="N531" i="1"/>
  <c r="M531" i="1"/>
  <c r="P530" i="1"/>
  <c r="N530" i="1"/>
  <c r="M530" i="1"/>
  <c r="P529" i="1"/>
  <c r="N529" i="1"/>
  <c r="M529" i="1"/>
  <c r="P528" i="1"/>
  <c r="N528" i="1"/>
  <c r="M528" i="1"/>
  <c r="P527" i="1"/>
  <c r="N527" i="1"/>
  <c r="M527" i="1"/>
  <c r="P526" i="1"/>
  <c r="N526" i="1"/>
  <c r="M526" i="1"/>
  <c r="P525" i="1"/>
  <c r="N525" i="1"/>
  <c r="M525" i="1"/>
  <c r="N524" i="1"/>
  <c r="M524" i="1"/>
  <c r="P523" i="1"/>
  <c r="N523" i="1"/>
  <c r="M523" i="1"/>
  <c r="P522" i="1"/>
  <c r="N522" i="1"/>
  <c r="M522" i="1"/>
  <c r="N521" i="1"/>
  <c r="M521" i="1"/>
  <c r="P520" i="1"/>
  <c r="N520" i="1"/>
  <c r="M520" i="1"/>
  <c r="P519" i="1"/>
  <c r="N519" i="1"/>
  <c r="M519" i="1"/>
  <c r="P518" i="1"/>
  <c r="N518" i="1"/>
  <c r="M518" i="1"/>
  <c r="P517" i="1"/>
  <c r="N517" i="1"/>
  <c r="M517" i="1"/>
  <c r="P516" i="1"/>
  <c r="N516" i="1"/>
  <c r="M516" i="1"/>
  <c r="P515" i="1"/>
  <c r="N515" i="1"/>
  <c r="M515" i="1"/>
  <c r="N514" i="1"/>
  <c r="M514" i="1"/>
  <c r="P513" i="1"/>
  <c r="N513" i="1"/>
  <c r="M513" i="1"/>
  <c r="P512" i="1"/>
  <c r="N512" i="1"/>
  <c r="M512" i="1"/>
  <c r="P511" i="1"/>
  <c r="N511" i="1"/>
  <c r="M511" i="1"/>
  <c r="P510" i="1"/>
  <c r="N510" i="1"/>
  <c r="M510" i="1"/>
  <c r="P509" i="1"/>
  <c r="N509" i="1"/>
  <c r="M509" i="1"/>
  <c r="P508" i="1"/>
  <c r="N508" i="1"/>
  <c r="M508" i="1"/>
  <c r="P507" i="1"/>
  <c r="N507" i="1"/>
  <c r="M507" i="1"/>
  <c r="P506" i="1"/>
  <c r="N506" i="1"/>
  <c r="M506" i="1"/>
  <c r="P505" i="1"/>
  <c r="N505" i="1"/>
  <c r="M505" i="1"/>
  <c r="N504" i="1"/>
  <c r="M504" i="1"/>
  <c r="P503" i="1"/>
  <c r="N503" i="1"/>
  <c r="M503" i="1"/>
  <c r="P502" i="1"/>
  <c r="N502" i="1"/>
  <c r="M502" i="1"/>
  <c r="P501" i="1"/>
  <c r="N501" i="1"/>
  <c r="M501" i="1"/>
  <c r="P500" i="1"/>
  <c r="N500" i="1"/>
  <c r="M500" i="1"/>
  <c r="P499" i="1"/>
  <c r="N499" i="1"/>
  <c r="M499" i="1"/>
  <c r="P498" i="1"/>
  <c r="N498" i="1"/>
  <c r="M498" i="1"/>
  <c r="P497" i="1"/>
  <c r="N497" i="1"/>
  <c r="M497" i="1"/>
  <c r="P496" i="1"/>
  <c r="N496" i="1"/>
  <c r="M496" i="1"/>
  <c r="P495" i="1"/>
  <c r="N495" i="1"/>
  <c r="M495" i="1"/>
  <c r="N494" i="1"/>
  <c r="M494" i="1"/>
  <c r="P493" i="1"/>
  <c r="N493" i="1"/>
  <c r="M493" i="1"/>
  <c r="P492" i="1"/>
  <c r="N492" i="1"/>
  <c r="M492" i="1"/>
  <c r="N491" i="1"/>
  <c r="M491" i="1"/>
  <c r="P490" i="1"/>
  <c r="N490" i="1"/>
  <c r="M490" i="1"/>
  <c r="P489" i="1"/>
  <c r="N489" i="1"/>
  <c r="M489" i="1"/>
  <c r="P488" i="1"/>
  <c r="N488" i="1"/>
  <c r="M488" i="1"/>
  <c r="P487" i="1"/>
  <c r="N487" i="1"/>
  <c r="M487" i="1"/>
  <c r="P486" i="1"/>
  <c r="N486" i="1"/>
  <c r="M486" i="1"/>
  <c r="P485" i="1"/>
  <c r="N485" i="1"/>
  <c r="M485" i="1"/>
  <c r="N484" i="1"/>
  <c r="M484" i="1"/>
  <c r="P483" i="1"/>
  <c r="N483" i="1"/>
  <c r="M483" i="1"/>
  <c r="P482" i="1"/>
  <c r="N482" i="1"/>
  <c r="M482" i="1"/>
  <c r="P481" i="1"/>
  <c r="N481" i="1"/>
  <c r="M481" i="1"/>
  <c r="P480" i="1"/>
  <c r="N480" i="1"/>
  <c r="M480" i="1"/>
  <c r="P479" i="1"/>
  <c r="N479" i="1"/>
  <c r="M479" i="1"/>
  <c r="P478" i="1"/>
  <c r="N478" i="1"/>
  <c r="M478" i="1"/>
  <c r="P477" i="1"/>
  <c r="N477" i="1"/>
  <c r="M477" i="1"/>
  <c r="P476" i="1"/>
  <c r="N476" i="1"/>
  <c r="M476" i="1"/>
  <c r="P475" i="1"/>
  <c r="N475" i="1"/>
  <c r="M475" i="1"/>
  <c r="N474" i="1"/>
  <c r="M474" i="1"/>
  <c r="P473" i="1"/>
  <c r="N473" i="1"/>
  <c r="M473" i="1"/>
  <c r="P472" i="1"/>
  <c r="N472" i="1"/>
  <c r="M472" i="1"/>
  <c r="P471" i="1"/>
  <c r="N471" i="1"/>
  <c r="M471" i="1"/>
  <c r="P470" i="1"/>
  <c r="N470" i="1"/>
  <c r="M470" i="1"/>
  <c r="P469" i="1"/>
  <c r="N469" i="1"/>
  <c r="M469" i="1"/>
  <c r="P468" i="1"/>
  <c r="N468" i="1"/>
  <c r="M468" i="1"/>
  <c r="P467" i="1"/>
  <c r="N467" i="1"/>
  <c r="M467" i="1"/>
  <c r="P466" i="1"/>
  <c r="N466" i="1"/>
  <c r="M466" i="1"/>
  <c r="P465" i="1"/>
  <c r="N465" i="1"/>
  <c r="M465" i="1"/>
  <c r="P464" i="1"/>
  <c r="N464" i="1"/>
  <c r="M464" i="1"/>
  <c r="P463" i="1"/>
  <c r="N463" i="1"/>
  <c r="M463" i="1"/>
  <c r="P462" i="1"/>
  <c r="N462" i="1"/>
  <c r="M462" i="1"/>
  <c r="P461" i="1"/>
  <c r="N461" i="1"/>
  <c r="M461" i="1"/>
  <c r="P460" i="1"/>
  <c r="N460" i="1"/>
  <c r="M460" i="1"/>
  <c r="P459" i="1"/>
  <c r="N459" i="1"/>
  <c r="M459" i="1"/>
  <c r="P458" i="1"/>
  <c r="N458" i="1"/>
  <c r="M458" i="1"/>
  <c r="P457" i="1"/>
  <c r="N457" i="1"/>
  <c r="M457" i="1"/>
  <c r="P456" i="1"/>
  <c r="N456" i="1"/>
  <c r="M456" i="1"/>
  <c r="P455" i="1"/>
  <c r="N455" i="1"/>
  <c r="M455" i="1"/>
  <c r="P454" i="1"/>
  <c r="N454" i="1"/>
  <c r="M454" i="1"/>
  <c r="P453" i="1"/>
  <c r="N453" i="1"/>
  <c r="M453" i="1"/>
  <c r="P452" i="1"/>
  <c r="N452" i="1"/>
  <c r="M452" i="1"/>
  <c r="P451" i="1"/>
  <c r="N451" i="1"/>
  <c r="M451" i="1"/>
  <c r="P450" i="1"/>
  <c r="N450" i="1"/>
  <c r="M450" i="1"/>
  <c r="P449" i="1"/>
  <c r="N449" i="1"/>
  <c r="M449" i="1"/>
  <c r="P448" i="1"/>
  <c r="N448" i="1"/>
  <c r="M448" i="1"/>
  <c r="P447" i="1"/>
  <c r="N447" i="1"/>
  <c r="M447" i="1"/>
  <c r="P446" i="1"/>
  <c r="N446" i="1"/>
  <c r="M446" i="1"/>
  <c r="P445" i="1"/>
  <c r="N445" i="1"/>
  <c r="M445" i="1"/>
  <c r="P444" i="1"/>
  <c r="N444" i="1"/>
  <c r="M444" i="1"/>
  <c r="P443" i="1"/>
  <c r="N443" i="1"/>
  <c r="M443" i="1"/>
  <c r="P442" i="1"/>
  <c r="N442" i="1"/>
  <c r="M442" i="1"/>
  <c r="P441" i="1"/>
  <c r="N441" i="1"/>
  <c r="M441" i="1"/>
  <c r="P440" i="1"/>
  <c r="N440" i="1"/>
  <c r="M440" i="1"/>
  <c r="P439" i="1"/>
  <c r="N439" i="1"/>
  <c r="M439" i="1"/>
  <c r="P438" i="1"/>
  <c r="N438" i="1"/>
  <c r="M438" i="1"/>
  <c r="P437" i="1"/>
  <c r="N437" i="1"/>
  <c r="M437" i="1"/>
  <c r="P436" i="1"/>
  <c r="N436" i="1"/>
  <c r="M436" i="1"/>
  <c r="P435" i="1"/>
  <c r="N435" i="1"/>
  <c r="M435" i="1"/>
  <c r="P434" i="1"/>
  <c r="N434" i="1"/>
  <c r="M434" i="1"/>
  <c r="P433" i="1"/>
  <c r="N433" i="1"/>
  <c r="M433" i="1"/>
  <c r="P432" i="1"/>
  <c r="N432" i="1"/>
  <c r="M432" i="1"/>
  <c r="P431" i="1"/>
  <c r="N431" i="1"/>
  <c r="M431" i="1"/>
  <c r="P430" i="1"/>
  <c r="N430" i="1"/>
  <c r="M430" i="1"/>
  <c r="P429" i="1"/>
  <c r="N429" i="1"/>
  <c r="M429" i="1"/>
  <c r="P428" i="1"/>
  <c r="N428" i="1"/>
  <c r="M428" i="1"/>
  <c r="P427" i="1"/>
  <c r="N427" i="1"/>
  <c r="M427" i="1"/>
  <c r="P426" i="1"/>
  <c r="N426" i="1"/>
  <c r="M426" i="1"/>
  <c r="P425" i="1"/>
  <c r="N425" i="1"/>
  <c r="M425" i="1"/>
  <c r="P424" i="1"/>
  <c r="N424" i="1"/>
  <c r="M424" i="1"/>
  <c r="P423" i="1"/>
  <c r="N423" i="1"/>
  <c r="M423" i="1"/>
  <c r="P422" i="1"/>
  <c r="N422" i="1"/>
  <c r="M422" i="1"/>
  <c r="P421" i="1"/>
  <c r="N421" i="1"/>
  <c r="M421" i="1"/>
  <c r="P420" i="1"/>
  <c r="N420" i="1"/>
  <c r="M420" i="1"/>
  <c r="P419" i="1"/>
  <c r="N419" i="1"/>
  <c r="M419" i="1"/>
  <c r="P418" i="1"/>
  <c r="N418" i="1"/>
  <c r="M418" i="1"/>
  <c r="P417" i="1"/>
  <c r="N417" i="1"/>
  <c r="M417" i="1"/>
  <c r="P416" i="1"/>
  <c r="N416" i="1"/>
  <c r="M416" i="1"/>
  <c r="P415" i="1"/>
  <c r="N415" i="1"/>
  <c r="M415" i="1"/>
  <c r="P414" i="1"/>
  <c r="N414" i="1"/>
  <c r="M414" i="1"/>
  <c r="P413" i="1"/>
  <c r="N413" i="1"/>
  <c r="M413" i="1"/>
  <c r="P412" i="1"/>
  <c r="N412" i="1"/>
  <c r="M412" i="1"/>
  <c r="P411" i="1"/>
  <c r="N411" i="1"/>
  <c r="M411" i="1"/>
  <c r="P410" i="1"/>
  <c r="N410" i="1"/>
  <c r="M410" i="1"/>
  <c r="P409" i="1"/>
  <c r="N409" i="1"/>
  <c r="M409" i="1"/>
  <c r="P408" i="1"/>
  <c r="N408" i="1"/>
  <c r="M408" i="1"/>
  <c r="P407" i="1"/>
  <c r="N407" i="1"/>
  <c r="M407" i="1"/>
  <c r="P406" i="1"/>
  <c r="N406" i="1"/>
  <c r="M406" i="1"/>
  <c r="P405" i="1"/>
  <c r="N405" i="1"/>
  <c r="M405" i="1"/>
  <c r="P404" i="1"/>
  <c r="N404" i="1"/>
  <c r="M404" i="1"/>
  <c r="P403" i="1"/>
  <c r="N403" i="1"/>
  <c r="M403" i="1"/>
  <c r="P402" i="1"/>
  <c r="N402" i="1"/>
  <c r="M402" i="1"/>
  <c r="P401" i="1"/>
  <c r="N401" i="1"/>
  <c r="M401" i="1"/>
  <c r="P400" i="1"/>
  <c r="N400" i="1"/>
  <c r="M400" i="1"/>
  <c r="P399" i="1"/>
  <c r="N399" i="1"/>
  <c r="M399" i="1"/>
  <c r="P398" i="1"/>
  <c r="N398" i="1"/>
  <c r="M398" i="1"/>
  <c r="P397" i="1"/>
  <c r="N397" i="1"/>
  <c r="M397" i="1"/>
  <c r="P396" i="1"/>
  <c r="N396" i="1"/>
  <c r="M396" i="1"/>
  <c r="P395" i="1"/>
  <c r="N395" i="1"/>
  <c r="M395" i="1"/>
  <c r="P394" i="1"/>
  <c r="N394" i="1"/>
  <c r="M394" i="1"/>
  <c r="P393" i="1"/>
  <c r="N393" i="1"/>
  <c r="M393" i="1"/>
  <c r="P392" i="1"/>
  <c r="N392" i="1"/>
  <c r="M392" i="1"/>
  <c r="P391" i="1"/>
  <c r="N391" i="1"/>
  <c r="M391" i="1"/>
  <c r="P390" i="1"/>
  <c r="N390" i="1"/>
  <c r="M390" i="1"/>
  <c r="P389" i="1"/>
  <c r="N389" i="1"/>
  <c r="M389" i="1"/>
  <c r="P388" i="1"/>
  <c r="N388" i="1"/>
  <c r="M388" i="1"/>
  <c r="P387" i="1"/>
  <c r="N387" i="1"/>
  <c r="M387" i="1"/>
  <c r="P386" i="1"/>
  <c r="N386" i="1"/>
  <c r="M386" i="1"/>
  <c r="P385" i="1"/>
  <c r="N385" i="1"/>
  <c r="M385" i="1"/>
  <c r="P384" i="1"/>
  <c r="N384" i="1"/>
  <c r="M384" i="1"/>
  <c r="P383" i="1"/>
  <c r="N383" i="1"/>
  <c r="M383" i="1"/>
  <c r="P382" i="1"/>
  <c r="N382" i="1"/>
  <c r="M382" i="1"/>
  <c r="P381" i="1"/>
  <c r="N381" i="1"/>
  <c r="M381" i="1"/>
  <c r="P380" i="1"/>
  <c r="N380" i="1"/>
  <c r="M380" i="1"/>
  <c r="P379" i="1"/>
  <c r="N379" i="1"/>
  <c r="M379" i="1"/>
  <c r="P378" i="1"/>
  <c r="N378" i="1"/>
  <c r="M378" i="1"/>
  <c r="P377" i="1"/>
  <c r="N377" i="1"/>
  <c r="M377" i="1"/>
  <c r="P376" i="1"/>
  <c r="N376" i="1"/>
  <c r="M376" i="1"/>
  <c r="P375" i="1"/>
  <c r="N375" i="1"/>
  <c r="M375" i="1"/>
  <c r="P374" i="1"/>
  <c r="N374" i="1"/>
  <c r="M374" i="1"/>
  <c r="P373" i="1"/>
  <c r="N373" i="1"/>
  <c r="M373" i="1"/>
  <c r="P372" i="1"/>
  <c r="N372" i="1"/>
  <c r="M372" i="1"/>
  <c r="P371" i="1"/>
  <c r="N371" i="1"/>
  <c r="M371" i="1"/>
  <c r="P370" i="1"/>
  <c r="N370" i="1"/>
  <c r="M370" i="1"/>
  <c r="P369" i="1"/>
  <c r="N369" i="1"/>
  <c r="M369" i="1"/>
  <c r="P368" i="1"/>
  <c r="N368" i="1"/>
  <c r="M368" i="1"/>
  <c r="P367" i="1"/>
  <c r="N367" i="1"/>
  <c r="M367" i="1"/>
  <c r="P366" i="1"/>
  <c r="N366" i="1"/>
  <c r="M366" i="1"/>
  <c r="P365" i="1"/>
  <c r="N365" i="1"/>
  <c r="M365" i="1"/>
  <c r="P364" i="1"/>
  <c r="N364" i="1"/>
  <c r="M364" i="1"/>
  <c r="P363" i="1"/>
  <c r="N363" i="1"/>
  <c r="M363" i="1"/>
  <c r="P362" i="1"/>
  <c r="N362" i="1"/>
  <c r="M362" i="1"/>
  <c r="P361" i="1"/>
  <c r="N361" i="1"/>
  <c r="M361" i="1"/>
  <c r="P360" i="1"/>
  <c r="N360" i="1"/>
  <c r="M360" i="1"/>
  <c r="P359" i="1"/>
  <c r="N359" i="1"/>
  <c r="M359" i="1"/>
  <c r="P358" i="1"/>
  <c r="N358" i="1"/>
  <c r="M358" i="1"/>
  <c r="P357" i="1"/>
  <c r="N357" i="1"/>
  <c r="M357" i="1"/>
  <c r="P356" i="1"/>
  <c r="N356" i="1"/>
  <c r="M356" i="1"/>
  <c r="P355" i="1"/>
  <c r="N355" i="1"/>
  <c r="M355" i="1"/>
  <c r="P354" i="1"/>
  <c r="N354" i="1"/>
  <c r="M354" i="1"/>
  <c r="P353" i="1"/>
  <c r="N353" i="1"/>
  <c r="M353" i="1"/>
  <c r="P352" i="1"/>
  <c r="N352" i="1"/>
  <c r="M352" i="1"/>
  <c r="P351" i="1"/>
  <c r="N351" i="1"/>
  <c r="M351" i="1"/>
  <c r="P350" i="1"/>
  <c r="N350" i="1"/>
  <c r="M350" i="1"/>
  <c r="P349" i="1"/>
  <c r="N349" i="1"/>
  <c r="M349" i="1"/>
  <c r="P348" i="1"/>
  <c r="N348" i="1"/>
  <c r="M348" i="1"/>
  <c r="P347" i="1"/>
  <c r="N347" i="1"/>
  <c r="M347" i="1"/>
  <c r="P346" i="1"/>
  <c r="N346" i="1"/>
  <c r="M346" i="1"/>
  <c r="P345" i="1"/>
  <c r="N345" i="1"/>
  <c r="M345" i="1"/>
  <c r="P344" i="1"/>
  <c r="N344" i="1"/>
  <c r="M344" i="1"/>
  <c r="P343" i="1"/>
  <c r="N343" i="1"/>
  <c r="M343" i="1"/>
  <c r="P342" i="1"/>
  <c r="N342" i="1"/>
  <c r="M342" i="1"/>
  <c r="P341" i="1"/>
  <c r="N341" i="1"/>
  <c r="M341" i="1"/>
  <c r="P340" i="1"/>
  <c r="N340" i="1"/>
  <c r="M340" i="1"/>
  <c r="P339" i="1"/>
  <c r="N339" i="1"/>
  <c r="M339" i="1"/>
  <c r="P338" i="1"/>
  <c r="N338" i="1"/>
  <c r="M338" i="1"/>
  <c r="P337" i="1"/>
  <c r="N337" i="1"/>
  <c r="M337" i="1"/>
  <c r="P336" i="1"/>
  <c r="N336" i="1"/>
  <c r="M336" i="1"/>
  <c r="P335" i="1"/>
  <c r="N335" i="1"/>
  <c r="M335" i="1"/>
  <c r="P334" i="1"/>
  <c r="N334" i="1"/>
  <c r="M334" i="1"/>
  <c r="P333" i="1"/>
  <c r="N333" i="1"/>
  <c r="M333" i="1"/>
  <c r="P332" i="1"/>
  <c r="N332" i="1"/>
  <c r="M332" i="1"/>
  <c r="P331" i="1"/>
  <c r="N331" i="1"/>
  <c r="M331" i="1"/>
  <c r="P330" i="1"/>
  <c r="N330" i="1"/>
  <c r="M330" i="1"/>
  <c r="P329" i="1"/>
  <c r="N329" i="1"/>
  <c r="M329" i="1"/>
  <c r="P328" i="1"/>
  <c r="N328" i="1"/>
  <c r="M328" i="1"/>
  <c r="P327" i="1"/>
  <c r="N327" i="1"/>
  <c r="M327" i="1"/>
  <c r="P326" i="1"/>
  <c r="N326" i="1"/>
  <c r="M326" i="1"/>
  <c r="P325" i="1"/>
  <c r="N325" i="1"/>
  <c r="M325" i="1"/>
  <c r="P324" i="1"/>
  <c r="N324" i="1"/>
  <c r="M324" i="1"/>
  <c r="P323" i="1"/>
  <c r="N323" i="1"/>
  <c r="M323" i="1"/>
  <c r="P322" i="1"/>
  <c r="N322" i="1"/>
  <c r="M322" i="1"/>
  <c r="P321" i="1"/>
  <c r="N321" i="1"/>
  <c r="M321" i="1"/>
  <c r="P320" i="1"/>
  <c r="N320" i="1"/>
  <c r="M320" i="1"/>
  <c r="P319" i="1"/>
  <c r="N319" i="1"/>
  <c r="M319" i="1"/>
  <c r="P318" i="1"/>
  <c r="N318" i="1"/>
  <c r="M318" i="1"/>
  <c r="P317" i="1"/>
  <c r="N317" i="1"/>
  <c r="M317" i="1"/>
  <c r="P316" i="1"/>
  <c r="N316" i="1"/>
  <c r="M316" i="1"/>
  <c r="P315" i="1"/>
  <c r="N315" i="1"/>
  <c r="M315" i="1"/>
  <c r="P314" i="1"/>
  <c r="N314" i="1"/>
  <c r="M314" i="1"/>
  <c r="P313" i="1"/>
  <c r="N313" i="1"/>
  <c r="M313" i="1"/>
  <c r="P312" i="1"/>
  <c r="N312" i="1"/>
  <c r="M312" i="1"/>
  <c r="P311" i="1"/>
  <c r="N311" i="1"/>
  <c r="M311" i="1"/>
  <c r="P310" i="1"/>
  <c r="N310" i="1"/>
  <c r="M310" i="1"/>
  <c r="P309" i="1"/>
  <c r="N309" i="1"/>
  <c r="M309" i="1"/>
  <c r="P308" i="1"/>
  <c r="N308" i="1"/>
  <c r="M308" i="1"/>
  <c r="P307" i="1"/>
  <c r="N307" i="1"/>
  <c r="M307" i="1"/>
  <c r="P306" i="1"/>
  <c r="N306" i="1"/>
  <c r="M306" i="1"/>
  <c r="P305" i="1"/>
  <c r="N305" i="1"/>
  <c r="M305" i="1"/>
  <c r="P304" i="1"/>
  <c r="N304" i="1"/>
  <c r="M304" i="1"/>
  <c r="P303" i="1"/>
  <c r="N303" i="1"/>
  <c r="M303" i="1"/>
  <c r="P302" i="1"/>
  <c r="N302" i="1"/>
  <c r="M302" i="1"/>
  <c r="P301" i="1"/>
  <c r="N301" i="1"/>
  <c r="M301" i="1"/>
  <c r="P300" i="1"/>
  <c r="N300" i="1"/>
  <c r="M300" i="1"/>
  <c r="P299" i="1"/>
  <c r="N299" i="1"/>
  <c r="M299" i="1"/>
  <c r="P298" i="1"/>
  <c r="N298" i="1"/>
  <c r="M298" i="1"/>
  <c r="P297" i="1"/>
  <c r="N297" i="1"/>
  <c r="M297" i="1"/>
  <c r="P296" i="1"/>
  <c r="N296" i="1"/>
  <c r="M296" i="1"/>
  <c r="P295" i="1"/>
  <c r="N295" i="1"/>
  <c r="M295" i="1"/>
  <c r="P294" i="1"/>
  <c r="N294" i="1"/>
  <c r="M294" i="1"/>
  <c r="P293" i="1"/>
  <c r="N293" i="1"/>
  <c r="M293" i="1"/>
  <c r="P292" i="1"/>
  <c r="N292" i="1"/>
  <c r="M292" i="1"/>
  <c r="P291" i="1"/>
  <c r="N291" i="1"/>
  <c r="M291" i="1"/>
  <c r="P290" i="1"/>
  <c r="N290" i="1"/>
  <c r="M290" i="1"/>
  <c r="P289" i="1"/>
  <c r="N289" i="1"/>
  <c r="M289" i="1"/>
  <c r="P288" i="1"/>
  <c r="N288" i="1"/>
  <c r="M288" i="1"/>
  <c r="P287" i="1"/>
  <c r="N287" i="1"/>
  <c r="M287" i="1"/>
  <c r="P286" i="1"/>
  <c r="N286" i="1"/>
  <c r="M286" i="1"/>
  <c r="P285" i="1"/>
  <c r="N285" i="1"/>
  <c r="M285" i="1"/>
  <c r="P284" i="1"/>
  <c r="N284" i="1"/>
  <c r="M284" i="1"/>
  <c r="P283" i="1"/>
  <c r="N283" i="1"/>
  <c r="M283" i="1"/>
  <c r="P282" i="1"/>
  <c r="N282" i="1"/>
  <c r="M282" i="1"/>
  <c r="P281" i="1"/>
  <c r="N281" i="1"/>
  <c r="M281" i="1"/>
  <c r="P280" i="1"/>
  <c r="N280" i="1"/>
  <c r="M280" i="1"/>
  <c r="P279" i="1"/>
  <c r="N279" i="1"/>
  <c r="M279" i="1"/>
  <c r="P278" i="1"/>
  <c r="N278" i="1"/>
  <c r="M278" i="1"/>
  <c r="P277" i="1"/>
  <c r="N277" i="1"/>
  <c r="M277" i="1"/>
  <c r="P276" i="1"/>
  <c r="N276" i="1"/>
  <c r="M276" i="1"/>
  <c r="P275" i="1"/>
  <c r="N275" i="1"/>
  <c r="M275" i="1"/>
  <c r="P274" i="1"/>
  <c r="N274" i="1"/>
  <c r="M274" i="1"/>
  <c r="P273" i="1"/>
  <c r="N273" i="1"/>
  <c r="M273" i="1"/>
  <c r="P272" i="1"/>
  <c r="N272" i="1"/>
  <c r="M272" i="1"/>
  <c r="P271" i="1"/>
  <c r="N271" i="1"/>
  <c r="M271" i="1"/>
  <c r="P270" i="1"/>
  <c r="N270" i="1"/>
  <c r="M270" i="1"/>
  <c r="P269" i="1"/>
  <c r="N269" i="1"/>
  <c r="M269" i="1"/>
  <c r="P268" i="1"/>
  <c r="N268" i="1"/>
  <c r="M268" i="1"/>
  <c r="P267" i="1"/>
  <c r="N267" i="1"/>
  <c r="M267" i="1"/>
  <c r="P266" i="1"/>
  <c r="N266" i="1"/>
  <c r="M266" i="1"/>
  <c r="P265" i="1"/>
  <c r="N265" i="1"/>
  <c r="M265" i="1"/>
  <c r="P264" i="1"/>
  <c r="N264" i="1"/>
  <c r="M264" i="1"/>
  <c r="P263" i="1"/>
  <c r="N263" i="1"/>
  <c r="M263" i="1"/>
  <c r="P262" i="1"/>
  <c r="N262" i="1"/>
  <c r="M262" i="1"/>
  <c r="P261" i="1"/>
  <c r="N261" i="1"/>
  <c r="M261" i="1"/>
  <c r="P260" i="1"/>
  <c r="N260" i="1"/>
  <c r="M260" i="1"/>
  <c r="P259" i="1"/>
  <c r="N259" i="1"/>
  <c r="M259" i="1"/>
  <c r="P258" i="1"/>
  <c r="N258" i="1"/>
  <c r="M258" i="1"/>
  <c r="P257" i="1"/>
  <c r="N257" i="1"/>
  <c r="M257" i="1"/>
  <c r="P256" i="1"/>
  <c r="N256" i="1"/>
  <c r="M256" i="1"/>
  <c r="P255" i="1"/>
  <c r="N255" i="1"/>
  <c r="M255" i="1"/>
  <c r="P254" i="1"/>
  <c r="N254" i="1"/>
  <c r="M254" i="1"/>
  <c r="P253" i="1"/>
  <c r="N253" i="1"/>
  <c r="M253" i="1"/>
  <c r="P252" i="1"/>
  <c r="N252" i="1"/>
  <c r="M252" i="1"/>
  <c r="P251" i="1"/>
  <c r="N251" i="1"/>
  <c r="M251" i="1"/>
  <c r="P250" i="1"/>
  <c r="N250" i="1"/>
  <c r="M250" i="1"/>
  <c r="P249" i="1"/>
  <c r="N249" i="1"/>
  <c r="M249" i="1"/>
  <c r="P248" i="1"/>
  <c r="N248" i="1"/>
  <c r="M248" i="1"/>
  <c r="P247" i="1"/>
  <c r="N247" i="1"/>
  <c r="M247" i="1"/>
  <c r="P246" i="1"/>
  <c r="N246" i="1"/>
  <c r="M246" i="1"/>
  <c r="P245" i="1"/>
  <c r="N245" i="1"/>
  <c r="M245" i="1"/>
  <c r="P244" i="1"/>
  <c r="N244" i="1"/>
  <c r="M244" i="1"/>
  <c r="P243" i="1"/>
  <c r="N243" i="1"/>
  <c r="M243" i="1"/>
  <c r="P242" i="1"/>
  <c r="N242" i="1"/>
  <c r="M242" i="1"/>
  <c r="P241" i="1"/>
  <c r="N241" i="1"/>
  <c r="M241" i="1"/>
  <c r="P240" i="1"/>
  <c r="N240" i="1"/>
  <c r="M240" i="1"/>
  <c r="P239" i="1"/>
  <c r="N239" i="1"/>
  <c r="M239" i="1"/>
  <c r="P238" i="1"/>
  <c r="N238" i="1"/>
  <c r="M238" i="1"/>
  <c r="P237" i="1"/>
  <c r="N237" i="1"/>
  <c r="M237" i="1"/>
  <c r="P236" i="1"/>
  <c r="N236" i="1"/>
  <c r="M236" i="1"/>
  <c r="P235" i="1"/>
  <c r="N235" i="1"/>
  <c r="M235" i="1"/>
  <c r="P234" i="1"/>
  <c r="N234" i="1"/>
  <c r="M234" i="1"/>
  <c r="P233" i="1"/>
  <c r="N233" i="1"/>
  <c r="M233" i="1"/>
  <c r="P232" i="1"/>
  <c r="N232" i="1"/>
  <c r="M232" i="1"/>
  <c r="P231" i="1"/>
  <c r="N231" i="1"/>
  <c r="M231" i="1"/>
  <c r="P230" i="1"/>
  <c r="N230" i="1"/>
  <c r="M230" i="1"/>
  <c r="P229" i="1"/>
  <c r="N229" i="1"/>
  <c r="M229" i="1"/>
  <c r="P228" i="1"/>
  <c r="N228" i="1"/>
  <c r="M228" i="1"/>
  <c r="P227" i="1"/>
  <c r="N227" i="1"/>
  <c r="M227" i="1"/>
  <c r="P226" i="1"/>
  <c r="N226" i="1"/>
  <c r="M226" i="1"/>
  <c r="P225" i="1"/>
  <c r="N225" i="1"/>
  <c r="M225" i="1"/>
  <c r="P224" i="1"/>
  <c r="N224" i="1"/>
  <c r="M224" i="1"/>
  <c r="P223" i="1"/>
  <c r="N223" i="1"/>
  <c r="M223" i="1"/>
  <c r="P222" i="1"/>
  <c r="N222" i="1"/>
  <c r="M222" i="1"/>
  <c r="P221" i="1"/>
  <c r="N221" i="1"/>
  <c r="M221" i="1"/>
  <c r="P220" i="1"/>
  <c r="N220" i="1"/>
  <c r="M220" i="1"/>
  <c r="P219" i="1"/>
  <c r="N219" i="1"/>
  <c r="M219" i="1"/>
  <c r="P218" i="1"/>
  <c r="N218" i="1"/>
  <c r="M218" i="1"/>
  <c r="P217" i="1"/>
  <c r="N217" i="1"/>
  <c r="M217" i="1"/>
  <c r="P216" i="1"/>
  <c r="N216" i="1"/>
  <c r="M216" i="1"/>
  <c r="P215" i="1"/>
  <c r="N215" i="1"/>
  <c r="M215" i="1"/>
  <c r="P214" i="1"/>
  <c r="N214" i="1"/>
  <c r="M214" i="1"/>
  <c r="P213" i="1"/>
  <c r="N213" i="1"/>
  <c r="M213" i="1"/>
  <c r="P212" i="1"/>
  <c r="N212" i="1"/>
  <c r="M212" i="1"/>
  <c r="P211" i="1"/>
  <c r="N211" i="1"/>
  <c r="M211" i="1"/>
  <c r="P210" i="1"/>
  <c r="N210" i="1"/>
  <c r="M210" i="1"/>
  <c r="P209" i="1"/>
  <c r="N209" i="1"/>
  <c r="M209" i="1"/>
  <c r="P208" i="1"/>
  <c r="N208" i="1"/>
  <c r="M208" i="1"/>
  <c r="P207" i="1"/>
  <c r="N207" i="1"/>
  <c r="M207" i="1"/>
  <c r="P206" i="1"/>
  <c r="N206" i="1"/>
  <c r="M206" i="1"/>
  <c r="P205" i="1"/>
  <c r="N205" i="1"/>
  <c r="M205" i="1"/>
  <c r="P204" i="1"/>
  <c r="N204" i="1"/>
  <c r="M204" i="1"/>
  <c r="P203" i="1"/>
  <c r="N203" i="1"/>
  <c r="M203" i="1"/>
  <c r="P202" i="1"/>
  <c r="N202" i="1"/>
  <c r="M202" i="1"/>
  <c r="P201" i="1"/>
  <c r="N201" i="1"/>
  <c r="M201" i="1"/>
  <c r="P200" i="1"/>
  <c r="N200" i="1"/>
  <c r="M200" i="1"/>
  <c r="P199" i="1"/>
  <c r="N199" i="1"/>
  <c r="M199" i="1"/>
  <c r="P198" i="1"/>
  <c r="N198" i="1"/>
  <c r="M198" i="1"/>
  <c r="P197" i="1"/>
  <c r="N197" i="1"/>
  <c r="M197" i="1"/>
  <c r="P196" i="1"/>
  <c r="N196" i="1"/>
  <c r="M196" i="1"/>
  <c r="P195" i="1"/>
  <c r="N195" i="1"/>
  <c r="M195" i="1"/>
  <c r="P194" i="1"/>
  <c r="N194" i="1"/>
  <c r="M194" i="1"/>
  <c r="P193" i="1"/>
  <c r="N193" i="1"/>
  <c r="M193" i="1"/>
  <c r="P192" i="1"/>
  <c r="N192" i="1"/>
  <c r="M192" i="1"/>
  <c r="P191" i="1"/>
  <c r="N191" i="1"/>
  <c r="M191" i="1"/>
  <c r="P190" i="1"/>
  <c r="N190" i="1"/>
  <c r="M190" i="1"/>
  <c r="P189" i="1"/>
  <c r="N189" i="1"/>
  <c r="M189" i="1"/>
  <c r="P188" i="1"/>
  <c r="N188" i="1"/>
  <c r="M188" i="1"/>
  <c r="P187" i="1"/>
  <c r="N187" i="1"/>
  <c r="M187" i="1"/>
  <c r="P186" i="1"/>
  <c r="N186" i="1"/>
  <c r="M186" i="1"/>
  <c r="P185" i="1"/>
  <c r="N185" i="1"/>
  <c r="M185" i="1"/>
  <c r="P184" i="1"/>
  <c r="N184" i="1"/>
  <c r="M184" i="1"/>
  <c r="P183" i="1"/>
  <c r="N183" i="1"/>
  <c r="M183" i="1"/>
  <c r="P182" i="1"/>
  <c r="N182" i="1"/>
  <c r="M182" i="1"/>
  <c r="N181" i="1"/>
  <c r="M181" i="1"/>
  <c r="O181" i="1" s="1"/>
  <c r="N180" i="1"/>
  <c r="N179" i="1"/>
  <c r="M179" i="1"/>
  <c r="N178" i="1"/>
  <c r="M178" i="1"/>
  <c r="O178" i="1" s="1"/>
  <c r="N177" i="1"/>
  <c r="P176" i="1"/>
  <c r="N176" i="1"/>
  <c r="M176" i="1"/>
  <c r="N175" i="1"/>
  <c r="M175" i="1"/>
  <c r="O175" i="1" s="1"/>
  <c r="N174" i="1"/>
  <c r="N172" i="1"/>
  <c r="M172" i="1"/>
  <c r="O172" i="1" s="1"/>
  <c r="N171" i="1"/>
  <c r="M171" i="1"/>
  <c r="N170" i="1"/>
  <c r="M170" i="1"/>
  <c r="O170" i="1" s="1"/>
  <c r="N169" i="1"/>
  <c r="M169" i="1"/>
  <c r="O169" i="1" s="1"/>
  <c r="N168" i="1"/>
  <c r="M168" i="1"/>
  <c r="O168" i="1" s="1"/>
  <c r="N167" i="1"/>
  <c r="M167" i="1"/>
  <c r="O167" i="1" s="1"/>
  <c r="N166" i="1"/>
  <c r="M166" i="1"/>
  <c r="O166" i="1" s="1"/>
  <c r="N165" i="1"/>
  <c r="M165" i="1"/>
  <c r="O165" i="1" s="1"/>
  <c r="N164" i="1"/>
  <c r="N163" i="1"/>
  <c r="M163" i="1"/>
  <c r="O163" i="1" s="1"/>
  <c r="N162" i="1"/>
  <c r="N161" i="1"/>
  <c r="M161" i="1"/>
  <c r="O161" i="1" s="1"/>
  <c r="N160" i="1"/>
  <c r="M160" i="1"/>
  <c r="O160" i="1" s="1"/>
  <c r="N159" i="1"/>
  <c r="N158" i="1"/>
  <c r="M158" i="1"/>
  <c r="O158" i="1" s="1"/>
  <c r="N157" i="1"/>
  <c r="M157" i="1"/>
  <c r="O157" i="1" s="1"/>
  <c r="N156" i="1"/>
  <c r="M156" i="1"/>
  <c r="O156" i="1" s="1"/>
  <c r="N155" i="1"/>
  <c r="M155" i="1"/>
  <c r="O155" i="1" s="1"/>
  <c r="N154" i="1"/>
  <c r="M154" i="1"/>
  <c r="O154" i="1" s="1"/>
  <c r="N153" i="1"/>
  <c r="M153" i="1"/>
  <c r="O153" i="1" s="1"/>
  <c r="N152" i="1"/>
  <c r="N151" i="1"/>
  <c r="M151" i="1"/>
  <c r="O151" i="1" s="1"/>
  <c r="N150" i="1"/>
  <c r="M150" i="1"/>
  <c r="O150" i="1" s="1"/>
  <c r="N149" i="1"/>
  <c r="M149" i="1"/>
  <c r="O149" i="1" s="1"/>
  <c r="N148" i="1"/>
  <c r="N147" i="1"/>
  <c r="M147" i="1"/>
  <c r="O147" i="1" s="1"/>
  <c r="N146" i="1"/>
  <c r="M146" i="1"/>
  <c r="O146" i="1" s="1"/>
  <c r="N145" i="1"/>
  <c r="M145" i="1"/>
  <c r="O145" i="1" s="1"/>
  <c r="N144" i="1"/>
  <c r="N143" i="1"/>
  <c r="M143" i="1"/>
  <c r="O143" i="1" s="1"/>
  <c r="N142" i="1"/>
  <c r="N141" i="1"/>
  <c r="N140" i="1"/>
  <c r="M140" i="1"/>
  <c r="O140" i="1" s="1"/>
  <c r="N139" i="1"/>
  <c r="M139" i="1"/>
  <c r="O139" i="1" s="1"/>
  <c r="N138" i="1"/>
  <c r="N137" i="1"/>
  <c r="M137" i="1"/>
  <c r="O137" i="1" s="1"/>
  <c r="N136" i="1"/>
  <c r="M136" i="1"/>
  <c r="O136" i="1" s="1"/>
  <c r="N135" i="1"/>
  <c r="M135" i="1"/>
  <c r="O135" i="1" s="1"/>
  <c r="N134" i="1"/>
  <c r="M134" i="1"/>
  <c r="O134" i="1" s="1"/>
  <c r="N133" i="1"/>
  <c r="M133" i="1"/>
  <c r="O133" i="1" s="1"/>
  <c r="N132" i="1"/>
  <c r="M132" i="1"/>
  <c r="O132" i="1" s="1"/>
  <c r="N131" i="1"/>
  <c r="M131" i="1"/>
  <c r="O131" i="1" s="1"/>
  <c r="N130" i="1"/>
  <c r="N129" i="1"/>
  <c r="N128" i="1"/>
  <c r="M128" i="1"/>
  <c r="N127" i="1"/>
  <c r="M127" i="1"/>
  <c r="O127" i="1" s="1"/>
  <c r="N126" i="1"/>
  <c r="N125" i="1"/>
  <c r="M125" i="1"/>
  <c r="O125" i="1" s="1"/>
  <c r="N124" i="1"/>
  <c r="N123" i="1"/>
  <c r="M123" i="1"/>
  <c r="O123" i="1" s="1"/>
  <c r="N122" i="1"/>
  <c r="M122" i="1"/>
  <c r="O122" i="1" s="1"/>
  <c r="N121" i="1"/>
  <c r="M121" i="1"/>
  <c r="O121" i="1" s="1"/>
  <c r="N120" i="1"/>
  <c r="M120" i="1"/>
  <c r="O120" i="1" s="1"/>
  <c r="N119" i="1"/>
  <c r="N118" i="1"/>
  <c r="M118" i="1"/>
  <c r="O118" i="1" s="1"/>
  <c r="N117" i="1"/>
  <c r="M117" i="1"/>
  <c r="O117" i="1" s="1"/>
  <c r="N116" i="1"/>
  <c r="M116" i="1"/>
  <c r="O116" i="1" s="1"/>
  <c r="N115" i="1"/>
  <c r="M115" i="1"/>
  <c r="O115" i="1" s="1"/>
  <c r="N114" i="1"/>
  <c r="M114" i="1"/>
  <c r="O114" i="1" s="1"/>
  <c r="N113" i="1"/>
  <c r="M113" i="1"/>
  <c r="O113" i="1" s="1"/>
  <c r="N112" i="1"/>
  <c r="M112" i="1"/>
  <c r="O112" i="1" s="1"/>
  <c r="N111" i="1"/>
  <c r="M111" i="1"/>
  <c r="O111" i="1" s="1"/>
  <c r="N110" i="1"/>
  <c r="N108" i="1"/>
  <c r="N107" i="1"/>
  <c r="M107" i="1"/>
  <c r="O107" i="1" s="1"/>
  <c r="N106" i="1"/>
  <c r="M106" i="1"/>
  <c r="O106" i="1" s="1"/>
  <c r="N105" i="1"/>
  <c r="M105" i="1"/>
  <c r="O105" i="1" s="1"/>
  <c r="N103" i="1"/>
  <c r="M103" i="1"/>
  <c r="N102" i="1"/>
  <c r="M102" i="1"/>
  <c r="O102" i="1" s="1"/>
  <c r="N101" i="1"/>
  <c r="M101" i="1"/>
  <c r="O101" i="1" s="1"/>
  <c r="N100" i="1"/>
  <c r="M100" i="1"/>
  <c r="O100" i="1" s="1"/>
  <c r="N99" i="1"/>
  <c r="M99" i="1"/>
  <c r="O99" i="1" s="1"/>
  <c r="N98" i="1"/>
  <c r="M98" i="1"/>
  <c r="O98" i="1" s="1"/>
  <c r="N97" i="1"/>
  <c r="M97" i="1"/>
  <c r="O97" i="1" s="1"/>
  <c r="N96" i="1"/>
  <c r="M96" i="1"/>
  <c r="O96" i="1" s="1"/>
  <c r="N95" i="1"/>
  <c r="N94" i="1"/>
  <c r="M94" i="1"/>
  <c r="O94" i="1" s="1"/>
  <c r="N93" i="1"/>
  <c r="M93" i="1"/>
  <c r="O93" i="1" s="1"/>
  <c r="N92" i="1"/>
  <c r="M92" i="1"/>
  <c r="O92" i="1" s="1"/>
  <c r="N91" i="1"/>
  <c r="M91" i="1"/>
  <c r="O91" i="1" s="1"/>
  <c r="N90" i="1"/>
  <c r="M90" i="1"/>
  <c r="O90" i="1" s="1"/>
  <c r="N89" i="1"/>
  <c r="M89" i="1"/>
  <c r="O89" i="1" s="1"/>
  <c r="N88" i="1"/>
  <c r="N87" i="1"/>
  <c r="M87" i="1"/>
  <c r="O87" i="1" s="1"/>
  <c r="N86" i="1"/>
  <c r="M86" i="1"/>
  <c r="O86" i="1" s="1"/>
  <c r="N85" i="1"/>
  <c r="M85" i="1"/>
  <c r="O85" i="1" s="1"/>
  <c r="N84" i="1"/>
  <c r="M84" i="1"/>
  <c r="O84" i="1" s="1"/>
  <c r="N83" i="1"/>
  <c r="M83" i="1"/>
  <c r="O83" i="1" s="1"/>
  <c r="N82" i="1"/>
  <c r="M82" i="1"/>
  <c r="O82" i="1" s="1"/>
  <c r="N81" i="1"/>
  <c r="M81" i="1"/>
  <c r="O81" i="1" s="1"/>
  <c r="N80" i="1"/>
  <c r="M80" i="1"/>
  <c r="O80" i="1" s="1"/>
  <c r="N79" i="1"/>
  <c r="M79" i="1"/>
  <c r="O79" i="1" s="1"/>
  <c r="N78" i="1"/>
  <c r="M78" i="1"/>
  <c r="O78" i="1" s="1"/>
  <c r="N77" i="1"/>
  <c r="M77" i="1"/>
  <c r="O77" i="1" s="1"/>
  <c r="N76" i="1"/>
  <c r="M76" i="1"/>
  <c r="O76" i="1" s="1"/>
  <c r="N75" i="1"/>
  <c r="N74" i="1"/>
  <c r="N73" i="1"/>
  <c r="M73" i="1"/>
  <c r="O73" i="1" s="1"/>
  <c r="N72" i="1"/>
  <c r="M72" i="1"/>
  <c r="O72" i="1" s="1"/>
  <c r="N71" i="1"/>
  <c r="M71" i="1"/>
  <c r="O71" i="1" s="1"/>
  <c r="N70" i="1"/>
  <c r="M70" i="1"/>
  <c r="O70" i="1" s="1"/>
  <c r="N69" i="1"/>
  <c r="M69" i="1"/>
  <c r="O69" i="1" s="1"/>
  <c r="N68" i="1"/>
  <c r="M68" i="1"/>
  <c r="O68" i="1" s="1"/>
  <c r="N67" i="1"/>
  <c r="M67" i="1"/>
  <c r="O67" i="1" s="1"/>
  <c r="N66" i="1"/>
  <c r="M66" i="1"/>
  <c r="O66" i="1" s="1"/>
  <c r="N65" i="1"/>
  <c r="M65" i="1"/>
  <c r="O65" i="1" s="1"/>
  <c r="N64" i="1"/>
  <c r="M64" i="1"/>
  <c r="O64" i="1" s="1"/>
  <c r="N63" i="1"/>
  <c r="M63" i="1"/>
  <c r="O63" i="1" s="1"/>
  <c r="N62" i="1"/>
  <c r="M62" i="1"/>
  <c r="O62" i="1" s="1"/>
  <c r="N61" i="1"/>
  <c r="M61" i="1"/>
  <c r="O61" i="1" s="1"/>
  <c r="N60" i="1"/>
  <c r="M60" i="1"/>
  <c r="O60" i="1" s="1"/>
  <c r="N59" i="1"/>
  <c r="M59" i="1"/>
  <c r="O59" i="1" s="1"/>
  <c r="N58" i="1"/>
  <c r="M58" i="1"/>
  <c r="O58" i="1" s="1"/>
  <c r="N57" i="1"/>
  <c r="M57" i="1"/>
  <c r="O57" i="1" s="1"/>
  <c r="N56" i="1"/>
  <c r="M56" i="1"/>
  <c r="O56" i="1" s="1"/>
  <c r="N55" i="1"/>
  <c r="M55" i="1"/>
  <c r="O55" i="1" s="1"/>
  <c r="N54" i="1"/>
  <c r="M54" i="1"/>
  <c r="O54" i="1" s="1"/>
  <c r="N53" i="1"/>
  <c r="M53" i="1"/>
  <c r="O53" i="1" s="1"/>
  <c r="N52" i="1"/>
  <c r="M52" i="1"/>
  <c r="O52" i="1" s="1"/>
  <c r="N51" i="1"/>
  <c r="M51" i="1"/>
  <c r="O51" i="1" s="1"/>
  <c r="N50" i="1"/>
  <c r="M50" i="1"/>
  <c r="O50" i="1" s="1"/>
  <c r="N49" i="1"/>
  <c r="M49" i="1"/>
  <c r="O49" i="1" s="1"/>
  <c r="N48" i="1"/>
  <c r="M48" i="1"/>
  <c r="O48" i="1" s="1"/>
  <c r="N47" i="1"/>
  <c r="M47" i="1"/>
  <c r="O47" i="1" s="1"/>
  <c r="N46" i="1"/>
  <c r="N45" i="1"/>
  <c r="M45" i="1"/>
  <c r="O45" i="1" s="1"/>
  <c r="N44" i="1"/>
  <c r="M44" i="1"/>
  <c r="O44" i="1" s="1"/>
  <c r="N43" i="1"/>
  <c r="M43" i="1"/>
  <c r="O43" i="1" s="1"/>
  <c r="N42" i="1"/>
  <c r="M42" i="1"/>
  <c r="O42" i="1" s="1"/>
  <c r="N41" i="1"/>
  <c r="M41" i="1"/>
  <c r="O41" i="1" s="1"/>
  <c r="N40" i="1"/>
  <c r="M40" i="1"/>
  <c r="O40" i="1" s="1"/>
  <c r="N39" i="1"/>
  <c r="M39" i="1"/>
  <c r="O39" i="1" s="1"/>
  <c r="N38" i="1"/>
  <c r="M38" i="1"/>
  <c r="O38" i="1" s="1"/>
  <c r="N37" i="1"/>
  <c r="M37" i="1"/>
  <c r="O37" i="1" s="1"/>
  <c r="N36" i="1"/>
  <c r="M36" i="1"/>
  <c r="O36" i="1" s="1"/>
  <c r="N35" i="1"/>
  <c r="M35" i="1"/>
  <c r="O35" i="1" s="1"/>
  <c r="N34" i="1"/>
  <c r="M34" i="1"/>
  <c r="O34" i="1" s="1"/>
  <c r="N33" i="1"/>
  <c r="M33" i="1"/>
  <c r="N32" i="1"/>
  <c r="M32" i="1"/>
  <c r="O32" i="1" s="1"/>
  <c r="N31" i="1"/>
  <c r="M31" i="1"/>
  <c r="O31" i="1" s="1"/>
  <c r="N30" i="1"/>
  <c r="M30" i="1"/>
  <c r="O30" i="1" s="1"/>
  <c r="N29" i="1"/>
  <c r="M29" i="1"/>
  <c r="O29" i="1" s="1"/>
  <c r="N28" i="1"/>
  <c r="M28" i="1"/>
  <c r="O28" i="1" s="1"/>
  <c r="N27" i="1"/>
  <c r="I27" i="1"/>
  <c r="M27" i="1" s="1"/>
  <c r="O27" i="1" s="1"/>
  <c r="N26" i="1"/>
  <c r="I26" i="1"/>
  <c r="M26" i="1" s="1"/>
  <c r="O26" i="1" s="1"/>
  <c r="N25" i="1"/>
  <c r="M25" i="1"/>
  <c r="N24" i="1"/>
  <c r="I24" i="1"/>
  <c r="M24" i="1" s="1"/>
  <c r="O24" i="1" s="1"/>
  <c r="N23" i="1"/>
  <c r="J23" i="1"/>
  <c r="N22" i="1"/>
  <c r="I22" i="1"/>
  <c r="M22" i="1" s="1"/>
  <c r="O22" i="1" s="1"/>
  <c r="N21" i="1"/>
  <c r="I21" i="1"/>
  <c r="M21" i="1" s="1"/>
  <c r="O21" i="1" s="1"/>
  <c r="N20" i="1"/>
  <c r="M20" i="1"/>
  <c r="O20" i="1" s="1"/>
  <c r="N19" i="1"/>
  <c r="M19" i="1"/>
  <c r="O19" i="1" s="1"/>
  <c r="N18" i="1"/>
  <c r="N17" i="1"/>
  <c r="M17" i="1"/>
  <c r="O17" i="1" s="1"/>
  <c r="N16" i="1"/>
  <c r="M16" i="1"/>
  <c r="O16" i="1" s="1"/>
  <c r="N15" i="1"/>
  <c r="M15" i="1"/>
  <c r="O15" i="1" s="1"/>
  <c r="N14" i="1"/>
  <c r="M14" i="1"/>
  <c r="O14" i="1" s="1"/>
  <c r="N13" i="1"/>
  <c r="M13" i="1"/>
  <c r="O13" i="1" s="1"/>
  <c r="N12" i="1"/>
  <c r="M12" i="1"/>
  <c r="O12" i="1" s="1"/>
  <c r="N11" i="1"/>
  <c r="M11" i="1"/>
  <c r="O11" i="1" s="1"/>
  <c r="N10" i="1"/>
  <c r="M10" i="1"/>
  <c r="O10" i="1" s="1"/>
  <c r="N9" i="1"/>
  <c r="M9" i="1"/>
  <c r="O9" i="1" s="1"/>
  <c r="N8" i="1"/>
  <c r="M8" i="1"/>
  <c r="O8" i="1" s="1"/>
  <c r="N7" i="1"/>
  <c r="M7" i="1"/>
  <c r="O7" i="1" s="1"/>
  <c r="N6" i="1"/>
  <c r="M6" i="1"/>
  <c r="O6" i="1" s="1"/>
  <c r="N5" i="1"/>
  <c r="M5" i="1"/>
  <c r="O5" i="1" s="1"/>
  <c r="N4" i="1"/>
  <c r="M4" i="1"/>
  <c r="L4" i="1"/>
  <c r="P3" i="1"/>
  <c r="N3" i="1"/>
  <c r="M3" i="1"/>
  <c r="L3" i="1"/>
  <c r="N2" i="1"/>
  <c r="M2" i="1"/>
  <c r="O33" i="1" l="1"/>
  <c r="O4" i="1"/>
  <c r="O25" i="1"/>
  <c r="P25" i="1" s="1"/>
  <c r="O2" i="1"/>
  <c r="M23" i="1"/>
  <c r="O23" i="1"/>
  <c r="P23" i="1" s="1"/>
  <c r="P26" i="1"/>
  <c r="P177" i="1"/>
  <c r="P13" i="1"/>
  <c r="P9" i="1"/>
  <c r="P14" i="1"/>
  <c r="P173" i="1"/>
  <c r="P165" i="1"/>
  <c r="P104" i="1"/>
  <c r="P109" i="1"/>
  <c r="P181" i="1"/>
  <c r="P180" i="1"/>
  <c r="P175" i="1"/>
  <c r="P179" i="1"/>
  <c r="P178" i="1"/>
  <c r="P174" i="1"/>
  <c r="P171" i="1"/>
  <c r="P172" i="1"/>
  <c r="P170" i="1"/>
  <c r="P169" i="1"/>
  <c r="P143" i="1"/>
  <c r="P168" i="1"/>
  <c r="P167" i="1"/>
  <c r="P164" i="1"/>
  <c r="P150" i="1"/>
  <c r="P162" i="1"/>
  <c r="P166" i="1"/>
  <c r="P163" i="1"/>
  <c r="P144" i="1"/>
  <c r="P161" i="1"/>
  <c r="P153" i="1"/>
  <c r="P160" i="1"/>
  <c r="P159" i="1"/>
  <c r="P158" i="1"/>
  <c r="P156" i="1"/>
  <c r="P157" i="1"/>
  <c r="P155" i="1"/>
  <c r="P154" i="1"/>
  <c r="P151" i="1"/>
  <c r="P152" i="1"/>
  <c r="P147" i="1"/>
  <c r="P145" i="1"/>
  <c r="P149" i="1"/>
  <c r="P148" i="1"/>
  <c r="P146" i="1"/>
  <c r="P140" i="1"/>
  <c r="P142" i="1"/>
  <c r="P141" i="1"/>
  <c r="P139" i="1"/>
  <c r="P138" i="1"/>
  <c r="P137" i="1"/>
  <c r="P136" i="1"/>
  <c r="P135" i="1"/>
  <c r="P134" i="1"/>
  <c r="P133" i="1"/>
  <c r="P128" i="1"/>
  <c r="P114" i="1"/>
  <c r="P131" i="1"/>
  <c r="P132" i="1"/>
  <c r="P126" i="1"/>
  <c r="P127" i="1"/>
  <c r="P130" i="1"/>
  <c r="P129" i="1"/>
  <c r="P125" i="1"/>
  <c r="P124" i="1"/>
  <c r="P103" i="1"/>
  <c r="P108" i="1"/>
  <c r="P123" i="1"/>
  <c r="P122" i="1"/>
  <c r="P121" i="1"/>
  <c r="P120" i="1"/>
  <c r="P119" i="1"/>
  <c r="P117" i="1"/>
  <c r="P116" i="1"/>
  <c r="P111" i="1"/>
  <c r="P110" i="1"/>
  <c r="P118" i="1"/>
  <c r="P106" i="1"/>
  <c r="P113" i="1"/>
  <c r="P107" i="1"/>
  <c r="P115" i="1"/>
  <c r="P112" i="1"/>
  <c r="P105" i="1"/>
  <c r="P102" i="1"/>
  <c r="P101" i="1"/>
  <c r="P100" i="1"/>
  <c r="P99" i="1"/>
  <c r="P96" i="1"/>
  <c r="P95" i="1"/>
  <c r="P85" i="1"/>
  <c r="P30" i="1"/>
  <c r="P20" i="1"/>
  <c r="P55" i="1"/>
  <c r="P97" i="1"/>
  <c r="P98" i="1"/>
  <c r="P92" i="1"/>
  <c r="P93" i="1"/>
  <c r="P94" i="1"/>
  <c r="P80" i="1"/>
  <c r="P86" i="1"/>
  <c r="P91" i="1"/>
  <c r="P90" i="1"/>
  <c r="P89" i="1"/>
  <c r="P88" i="1"/>
  <c r="P87" i="1"/>
  <c r="P64" i="1"/>
  <c r="P84" i="1"/>
  <c r="P78" i="1"/>
  <c r="P75" i="1"/>
  <c r="P83" i="1"/>
  <c r="P82" i="1"/>
  <c r="P77" i="1"/>
  <c r="P71" i="1"/>
  <c r="P81" i="1"/>
  <c r="P79" i="1"/>
  <c r="P76" i="1"/>
  <c r="P65" i="1"/>
  <c r="P74" i="1"/>
  <c r="P73" i="1"/>
  <c r="P72" i="1"/>
  <c r="P70" i="1"/>
  <c r="P69" i="1"/>
  <c r="P68" i="1"/>
  <c r="P67" i="1"/>
  <c r="P66" i="1"/>
  <c r="P63" i="1"/>
  <c r="P62" i="1"/>
  <c r="P56" i="1"/>
  <c r="P58" i="1"/>
  <c r="P59" i="1"/>
  <c r="P57" i="1"/>
  <c r="P61" i="1"/>
  <c r="P60" i="1"/>
  <c r="P51" i="1"/>
  <c r="P45" i="1"/>
  <c r="P50" i="1"/>
  <c r="P49" i="1"/>
  <c r="P54" i="1"/>
  <c r="P53" i="1"/>
  <c r="P52" i="1"/>
  <c r="P48" i="1"/>
  <c r="P47" i="1"/>
  <c r="P38" i="1"/>
  <c r="P43" i="1"/>
  <c r="P46" i="1"/>
  <c r="P42" i="1"/>
  <c r="P44" i="1"/>
  <c r="P40" i="1"/>
  <c r="P41" i="1"/>
  <c r="P37" i="1"/>
  <c r="P35" i="1"/>
  <c r="P39" i="1"/>
  <c r="P32" i="1"/>
  <c r="P31" i="1"/>
  <c r="P19" i="1"/>
  <c r="P18" i="1"/>
  <c r="P33" i="1"/>
  <c r="P36" i="1"/>
  <c r="P22" i="1"/>
  <c r="P29" i="1"/>
  <c r="P24" i="1"/>
  <c r="P21" i="1"/>
  <c r="P4" i="1"/>
  <c r="P2" i="1"/>
  <c r="P12" i="1"/>
  <c r="P6" i="1"/>
  <c r="P10" i="1"/>
  <c r="P15" i="1"/>
  <c r="P11" i="1"/>
  <c r="P5" i="1"/>
  <c r="P16" i="1"/>
  <c r="P34" i="1"/>
  <c r="P27" i="1"/>
  <c r="P8" i="1"/>
  <c r="P28" i="1"/>
  <c r="P17" i="1"/>
  <c r="P7" i="1"/>
</calcChain>
</file>

<file path=xl/sharedStrings.xml><?xml version="1.0" encoding="utf-8"?>
<sst xmlns="http://schemas.openxmlformats.org/spreadsheetml/2006/main" count="606" uniqueCount="93">
  <si>
    <t>Type</t>
  </si>
  <si>
    <t>Open</t>
  </si>
  <si>
    <t>Expiry</t>
  </si>
  <si>
    <t>Close</t>
  </si>
  <si>
    <t>Ticker</t>
  </si>
  <si>
    <t>Event</t>
  </si>
  <si>
    <t>K(s)</t>
  </si>
  <si>
    <t>Qty</t>
  </si>
  <si>
    <t>Fill $</t>
  </si>
  <si>
    <t>Close $</t>
  </si>
  <si>
    <t>Fee</t>
  </si>
  <si>
    <t>Coll</t>
  </si>
  <si>
    <t>P/L</t>
  </si>
  <si>
    <t xml:space="preserve">Days </t>
  </si>
  <si>
    <t>ROC</t>
  </si>
  <si>
    <t>Anl ROC</t>
  </si>
  <si>
    <t>Notes</t>
  </si>
  <si>
    <t>SDI</t>
  </si>
  <si>
    <t>ETH</t>
  </si>
  <si>
    <t>Stock</t>
  </si>
  <si>
    <t>Crypto</t>
  </si>
  <si>
    <t>BTC</t>
  </si>
  <si>
    <t>SQ</t>
  </si>
  <si>
    <t>Buy</t>
  </si>
  <si>
    <t>NVDA</t>
  </si>
  <si>
    <t>Put</t>
  </si>
  <si>
    <t>AVGO</t>
  </si>
  <si>
    <t>Call</t>
  </si>
  <si>
    <t>TSLA</t>
  </si>
  <si>
    <t>Sell</t>
  </si>
  <si>
    <t>COST</t>
  </si>
  <si>
    <t>Ass</t>
  </si>
  <si>
    <t>Assigned</t>
  </si>
  <si>
    <t>Rolled to 430 Call 1/10; 2nd Roll to 427.5 Call 1/3; 3rd Roll to 400 Call 1/31; 4th Roll to 415 Call 02/28; 5th Roll to 435 Call 4/17; 6th Roll to 400 Call 4/17;7th Roll to 390 Call 5/16; 8th Roll to 325 Call 5/16; 9th Roll to 310 Call 5/16; 10th Roll to 330 6/20; 11th Roll to 350 Call 7/18; 12th Roll to 370 Call 8/15;13th Roll to 380 Call 9/19;14th Roll to 375 call 10/17; 15th Roll to 375 Call 11/21;16th Roll to 400 Call 01/16</t>
  </si>
  <si>
    <t>Rolled 252.5 Call 1/3 to 252.5 Call 1/10; 2nd Roll to 252.5 Call 1/17; 3rd Roll to 250 Call 1/31; 4th Roll to 250 Call 2/7</t>
  </si>
  <si>
    <t>GOOGL</t>
  </si>
  <si>
    <t>Rolled 197.5 Call 1/3 to 197.5 Call 1/10; 2nd Roll to 200 Call 1/17; 3rd Roll 197.5 Call 1/24; 4th Roll to 200 Call 1/31; 5th Roll 205 Call 02/07</t>
  </si>
  <si>
    <t>Rolled 415 Put 1/3 to 385 Put 1/3 ; 2nd Roll to 360 Put 1/10; Expired 1/10</t>
  </si>
  <si>
    <t>PLTR</t>
  </si>
  <si>
    <t>Rolled 64 Put 1/31 to 67 Put 1/31; 2nd Roll to 65 Put 2/7</t>
  </si>
  <si>
    <t>WMT</t>
  </si>
  <si>
    <t>Rolled 135 Put 1/17 to 130 Put 1/31; Assigned</t>
  </si>
  <si>
    <t>SOFI</t>
  </si>
  <si>
    <t>Rolled 13.5 Put 1/24 to 13 Put 1/31</t>
  </si>
  <si>
    <t>CAT</t>
  </si>
  <si>
    <t>AAL</t>
  </si>
  <si>
    <t>Rolled 132 Put 2/14 to 128 Put 3/7; Second Roll to 127 Put 3/28; Third Roll to 125 Put 4/17;Fourth Roll split 123 Put 123;122 Put 122 6/20</t>
  </si>
  <si>
    <t>IBM</t>
  </si>
  <si>
    <t>Iron Condor - Early assignment</t>
  </si>
  <si>
    <t>Rolled 129 Call 2/21 to 134 Call 3/7; Second Roll to 122 Call 3/28; Third roll to 125 Call 4/17</t>
  </si>
  <si>
    <t>Rolled 245 Call 2/28 to 250 Call 3/7; Second Roll to 240 Call 3/7; Third Roll to 200 Call 3/14;Fourth Roll to 210 Call 3/28</t>
  </si>
  <si>
    <t>QQQ</t>
  </si>
  <si>
    <t>Rolled 526 Put 02/11 to 525 Put 02/12; Second Roll to 522 Put 02/14</t>
  </si>
  <si>
    <t>Rolled 100 Put 02/21 to 98 Put 02/21</t>
  </si>
  <si>
    <t>SPY</t>
  </si>
  <si>
    <t>Closed Same day</t>
  </si>
  <si>
    <t>Rolled 88 Call 3/7 to 88 Call 03/14; Second roll to 87 Call 03/21; Third roll to 88 Call 4/4; Fourth roll to 85 Call 4/25</t>
  </si>
  <si>
    <t>NKE</t>
  </si>
  <si>
    <t>Rolled 180 Call 4/17 to 165 Call 04/25; Second Roll to 170 Call 05/02; Third roll to 180 Call 06/06; 4th Roll to 185 Call 08/15;5th Roll to 195 Call 9/19</t>
  </si>
  <si>
    <t>HOOD</t>
  </si>
  <si>
    <t>UBER</t>
  </si>
  <si>
    <t>SHOP</t>
  </si>
  <si>
    <t>Rolled 114 Call 5/16 to 122 Call 6/20; Second Roll to 122 Call 6/20; Third Roll to 125 Call 7/18</t>
  </si>
  <si>
    <t>HOOD 2-Option strategy; Synthetic call</t>
  </si>
  <si>
    <t>Rolled 300 Put 6/20 to 295 Put 6/27; Second Roll to 275 Put 07/18</t>
  </si>
  <si>
    <t>Rolled 257.5 Call 06/13 to 260 Call 06/20; Second Roll to 260 6/27;</t>
  </si>
  <si>
    <t>AAPL</t>
  </si>
  <si>
    <t>SHIB</t>
  </si>
  <si>
    <t>NFLX</t>
  </si>
  <si>
    <t>Rolled 900 Long call 01/16/2026 to 900 Call 03/20/2026</t>
  </si>
  <si>
    <t>Split to two transactions to accomodate partial sell</t>
  </si>
  <si>
    <t>Rolled 310 Call 08/01 to 310 Call 08/08; 2nd Roll to 315 Call 08/15; 3rd Roll to 320 Call 08/22</t>
  </si>
  <si>
    <t>Rolled 145 Put 08/01 to 142 Put 08/08;2nd Roll 165 Call 8/15</t>
  </si>
  <si>
    <t>Rolled 1200 Call 08/01 to 1220 Call 10/17; 2nd Roll to 1200 01/16/2026; 3rd Roll to 1225 03/20/2026</t>
  </si>
  <si>
    <t>NRG</t>
  </si>
  <si>
    <t>Rolled 315 Call 08/25 to 320 Call 09/05; Second Roll 315 Call 09/12; Third Roll 325 Call 10/17; 4th Roll 330 Call 10/17; 5th Roll 335 Call 10/24</t>
  </si>
  <si>
    <t>INTC</t>
  </si>
  <si>
    <t>AMZN</t>
  </si>
  <si>
    <t>Rolled 340 Call 10/17 to 350 Call 10/31, 2nd Roll to 355 Call 11/07;3rd Roll to 380 Call 01/16; 4th Roll to 400 Call 02/26;5th Roll to 450 Call 03/20</t>
  </si>
  <si>
    <t>AMD</t>
  </si>
  <si>
    <t>Rolled 240 Put 10/31 to 235 Put 11/07</t>
  </si>
  <si>
    <t>Rolled 175 Put 10/31 to 170 Put 11/07</t>
  </si>
  <si>
    <t>MU</t>
  </si>
  <si>
    <t>Rolled 215 Put 10/31 to 205 Put 11/07</t>
  </si>
  <si>
    <t>META</t>
  </si>
  <si>
    <t>Rolled 185 Call 12/12 to 185 Call 12/19</t>
  </si>
  <si>
    <t>APLD</t>
  </si>
  <si>
    <t>IREN</t>
  </si>
  <si>
    <t>Rolled 37 Put 01/02 to 36 Put 01/16; 2nd Roll 36 Put to 41 Put 01/30; 3rd Roll 41 Put to 42 Put 02/20</t>
  </si>
  <si>
    <t>Rolled 320 Put 01/09 to 320 Put 01/23</t>
  </si>
  <si>
    <t>Rolled 320 Call 01/16 to 340 Call 02/20; 2nd Roll 340 Call to 370 Call 3/20;3rd Roll to 420 Call 6/18</t>
  </si>
  <si>
    <t>ASML</t>
  </si>
  <si>
    <t>Put credit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</si>
</sst>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&quot;$&quot;#,##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rial"/>
      <family val="2"/>
    </font>
    <font>
      <sz val="11"/>
      <color rgb="FF000000"/>
      <name val="Inconsolata"/>
    </font>
    <font>
      <b/>
      <sz val="10"/>
      <color theme="0"/>
      <name val="Arial"/>
      <family val="2"/>
      <scheme val="minor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/>
    <xf numFmtId="3" fontId="1" fillId="2" borderId="0" xfId="0" applyNumberFormat="1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wrapText="1"/>
    </xf>
    <xf numFmtId="0" fontId="1" fillId="3" borderId="0" xfId="0" applyFont="1" applyFill="1"/>
    <xf numFmtId="164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/>
    <xf numFmtId="3" fontId="1" fillId="3" borderId="0" xfId="0" applyNumberFormat="1" applyFont="1" applyFill="1" applyAlignment="1">
      <alignment horizontal="right"/>
    </xf>
    <xf numFmtId="10" fontId="1" fillId="3" borderId="0" xfId="0" applyNumberFormat="1" applyFont="1" applyFill="1" applyAlignment="1">
      <alignment horizontal="right"/>
    </xf>
    <xf numFmtId="10" fontId="1" fillId="3" borderId="1" xfId="0" applyNumberFormat="1" applyFont="1" applyFill="1" applyBorder="1" applyAlignment="1">
      <alignment horizontal="right"/>
    </xf>
    <xf numFmtId="0" fontId="2" fillId="3" borderId="0" xfId="0" applyFont="1" applyFill="1" applyAlignment="1">
      <alignment wrapText="1"/>
    </xf>
    <xf numFmtId="164" fontId="1" fillId="3" borderId="0" xfId="0" applyNumberFormat="1" applyFont="1" applyFill="1"/>
    <xf numFmtId="0" fontId="2" fillId="3" borderId="0" xfId="0" applyFont="1" applyFill="1" applyAlignment="1">
      <alignment horizontal="left"/>
    </xf>
    <xf numFmtId="166" fontId="1" fillId="3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/>
    </xf>
    <xf numFmtId="166" fontId="1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1" fillId="3" borderId="0" xfId="0" applyFont="1" applyFill="1" applyAlignment="1">
      <alignment wrapText="1"/>
    </xf>
    <xf numFmtId="0" fontId="2" fillId="3" borderId="0" xfId="0" applyFont="1" applyFill="1"/>
    <xf numFmtId="0" fontId="2" fillId="2" borderId="0" xfId="0" applyFont="1" applyFill="1"/>
    <xf numFmtId="0" fontId="1" fillId="3" borderId="5" xfId="0" applyFont="1" applyFill="1" applyBorder="1"/>
    <xf numFmtId="165" fontId="3" fillId="2" borderId="6" xfId="0" applyNumberFormat="1" applyFont="1" applyFill="1" applyBorder="1"/>
    <xf numFmtId="165" fontId="3" fillId="3" borderId="6" xfId="0" applyNumberFormat="1" applyFont="1" applyFill="1" applyBorder="1"/>
    <xf numFmtId="0" fontId="5" fillId="4" borderId="3" xfId="0" applyFont="1" applyFill="1" applyBorder="1" applyAlignment="1">
      <alignment horizontal="left"/>
    </xf>
    <xf numFmtId="164" fontId="6" fillId="4" borderId="3" xfId="0" applyNumberFormat="1" applyFont="1" applyFill="1" applyBorder="1"/>
    <xf numFmtId="0" fontId="6" fillId="4" borderId="3" xfId="0" applyFont="1" applyFill="1" applyBorder="1"/>
    <xf numFmtId="165" fontId="6" fillId="4" borderId="3" xfId="0" applyNumberFormat="1" applyFont="1" applyFill="1" applyBorder="1"/>
    <xf numFmtId="165" fontId="6" fillId="4" borderId="3" xfId="0" applyNumberFormat="1" applyFont="1" applyFill="1" applyBorder="1" applyAlignment="1">
      <alignment horizontal="left"/>
    </xf>
    <xf numFmtId="166" fontId="6" fillId="4" borderId="3" xfId="0" applyNumberFormat="1" applyFont="1" applyFill="1" applyBorder="1" applyAlignment="1">
      <alignment horizontal="left"/>
    </xf>
    <xf numFmtId="166" fontId="6" fillId="4" borderId="4" xfId="0" applyNumberFormat="1" applyFont="1" applyFill="1" applyBorder="1" applyAlignment="1">
      <alignment horizontal="left"/>
    </xf>
    <xf numFmtId="164" fontId="6" fillId="4" borderId="2" xfId="0" applyNumberFormat="1" applyFont="1" applyFill="1" applyBorder="1"/>
    <xf numFmtId="164" fontId="6" fillId="4" borderId="3" xfId="0" applyNumberFormat="1" applyFont="1" applyFill="1" applyBorder="1" applyAlignment="1">
      <alignment wrapText="1"/>
    </xf>
    <xf numFmtId="14" fontId="1" fillId="3" borderId="0" xfId="0" applyNumberFormat="1" applyFont="1" applyFill="1"/>
    <xf numFmtId="14" fontId="1" fillId="2" borderId="0" xfId="0" applyNumberFormat="1" applyFont="1" applyFill="1"/>
    <xf numFmtId="14" fontId="1" fillId="3" borderId="0" xfId="0" applyNumberFormat="1" applyFont="1" applyFill="1" applyAlignment="1">
      <alignment horizontal="right"/>
    </xf>
    <xf numFmtId="14" fontId="1" fillId="2" borderId="0" xfId="0" applyNumberFormat="1" applyFont="1" applyFill="1" applyAlignment="1">
      <alignment horizontal="right"/>
    </xf>
    <xf numFmtId="14" fontId="0" fillId="0" borderId="0" xfId="0" applyNumberFormat="1"/>
    <xf numFmtId="2" fontId="1" fillId="2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</cellXfs>
  <cellStyles count="1">
    <cellStyle name="Normal" xfId="0" builtinId="0"/>
  </cellStyles>
  <dxfs count="8">
    <dxf>
      <fill>
        <patternFill patternType="solid">
          <fgColor rgb="FFE8EAED"/>
          <bgColor rgb="FFE8EAED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000000"/>
          <bgColor rgb="FF000000"/>
        </patternFill>
      </fill>
    </dxf>
    <dxf>
      <font>
        <color rgb="FFFFFFFF"/>
      </font>
      <fill>
        <patternFill patternType="solid">
          <fgColor rgb="FF34A853"/>
          <bgColor rgb="FF34A853"/>
        </patternFill>
      </fill>
    </dxf>
    <dxf>
      <font>
        <color theme="0"/>
      </font>
      <fill>
        <patternFill patternType="solid">
          <fgColor rgb="FF0853A8"/>
          <bgColor rgb="FF0853A8"/>
        </patternFill>
      </fill>
    </dxf>
    <dxf>
      <font>
        <color theme="0"/>
      </font>
      <fill>
        <patternFill patternType="solid">
          <fgColor rgb="FF0853A8"/>
          <bgColor rgb="FF0853A8"/>
        </patternFill>
      </fill>
    </dxf>
    <dxf>
      <font>
        <color rgb="FFFFFFFF"/>
      </font>
      <fill>
        <patternFill patternType="solid">
          <fgColor rgb="FF0853A8"/>
          <bgColor rgb="FF0853A8"/>
        </patternFill>
      </fill>
    </dxf>
    <dxf>
      <font>
        <color rgb="FF000000"/>
      </font>
      <fill>
        <patternFill patternType="solid">
          <fgColor rgb="FFFEFF00"/>
          <bgColor rgb="FFFE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139"/>
  <sheetViews>
    <sheetView tabSelected="1" zoomScale="120" zoomScaleNormal="120" workbookViewId="0">
      <pane ySplit="1" topLeftCell="A2" activePane="bottomLeft" state="frozen"/>
      <selection pane="bottomLeft" activeCell="O15" sqref="O15"/>
    </sheetView>
  </sheetViews>
  <sheetFormatPr baseColWidth="10" defaultColWidth="12.6640625" defaultRowHeight="13" x14ac:dyDescent="0.15"/>
  <cols>
    <col min="1" max="1" width="14.5" customWidth="1"/>
    <col min="2" max="2" width="11" customWidth="1"/>
    <col min="3" max="3" width="10.83203125" customWidth="1"/>
    <col min="4" max="4" width="10.6640625" customWidth="1"/>
    <col min="5" max="5" width="12.83203125" customWidth="1"/>
    <col min="6" max="6" width="11" customWidth="1"/>
    <col min="7" max="7" width="6.6640625" bestFit="1" customWidth="1"/>
    <col min="8" max="8" width="11.1640625" bestFit="1" customWidth="1"/>
    <col min="9" max="9" width="10.1640625" bestFit="1" customWidth="1"/>
    <col min="10" max="10" width="12" customWidth="1"/>
    <col min="11" max="11" width="6.33203125" bestFit="1" customWidth="1"/>
    <col min="12" max="12" width="13.6640625" customWidth="1"/>
    <col min="13" max="13" width="12.33203125" customWidth="1"/>
    <col min="14" max="14" width="8.1640625" bestFit="1" customWidth="1"/>
    <col min="15" max="16" width="13.6640625" customWidth="1"/>
    <col min="17" max="17" width="40.33203125" customWidth="1"/>
  </cols>
  <sheetData>
    <row r="1" spans="1:17" ht="14" x14ac:dyDescent="0.15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3" t="s">
        <v>5</v>
      </c>
      <c r="G1" s="35" t="s">
        <v>6</v>
      </c>
      <c r="H1" s="35" t="s">
        <v>7</v>
      </c>
      <c r="I1" s="36" t="s">
        <v>8</v>
      </c>
      <c r="J1" s="36" t="s">
        <v>9</v>
      </c>
      <c r="K1" s="37" t="s">
        <v>10</v>
      </c>
      <c r="L1" s="38" t="s">
        <v>11</v>
      </c>
      <c r="M1" s="39" t="s">
        <v>12</v>
      </c>
      <c r="N1" s="34" t="s">
        <v>13</v>
      </c>
      <c r="O1" s="34" t="s">
        <v>14</v>
      </c>
      <c r="P1" s="40" t="s">
        <v>15</v>
      </c>
      <c r="Q1" s="41" t="s">
        <v>16</v>
      </c>
    </row>
    <row r="2" spans="1:17" ht="14" x14ac:dyDescent="0.15">
      <c r="A2" s="1" t="s">
        <v>17</v>
      </c>
      <c r="B2" s="2">
        <v>45607</v>
      </c>
      <c r="C2" s="43"/>
      <c r="D2" s="3">
        <v>45621</v>
      </c>
      <c r="E2" s="1" t="s">
        <v>18</v>
      </c>
      <c r="F2" s="1" t="s">
        <v>19</v>
      </c>
      <c r="G2" s="47"/>
      <c r="H2" s="4">
        <v>5</v>
      </c>
      <c r="I2" s="5">
        <v>3322.91</v>
      </c>
      <c r="J2" s="6">
        <v>3490.6</v>
      </c>
      <c r="K2" s="6">
        <v>0</v>
      </c>
      <c r="L2" s="24">
        <f>H2*I2</f>
        <v>16614.55</v>
      </c>
      <c r="M2" s="31">
        <f t="shared" ref="M2:M259" si="0">IF(J2="","",IF(A2="SELL",(I2-J2-K2/100)*H2*100, IF(A2="BUY",(J2-I2-K2/100)*H2*100, IF(A2="ASS",(J2-I2-K2/100)*H2*100,IF(A2="ASSIGNED",(J2-I2-K2/100)*H2*100, IF(A2="SDI",((J2-I2)*H2)-(K2), IF(A2="","")))))))</f>
        <v>838.45000000000027</v>
      </c>
      <c r="N2" s="7">
        <f t="shared" ref="N2:N259" si="1">IF(D2="","",(IF(D2-B2&lt;1,"1",D2-B2)))</f>
        <v>14</v>
      </c>
      <c r="O2" s="8">
        <f>IF(J2="","",M2/L2)</f>
        <v>5.0464803440358016E-2</v>
      </c>
      <c r="P2" s="9">
        <f>IF(O2="","",(O2/(N2)*365))</f>
        <v>1.3156895182664767</v>
      </c>
      <c r="Q2" s="10" t="s">
        <v>20</v>
      </c>
    </row>
    <row r="3" spans="1:17" ht="14" x14ac:dyDescent="0.15">
      <c r="A3" s="11" t="s">
        <v>17</v>
      </c>
      <c r="B3" s="12">
        <v>45608</v>
      </c>
      <c r="C3" s="44"/>
      <c r="D3" s="12"/>
      <c r="E3" s="11" t="s">
        <v>21</v>
      </c>
      <c r="F3" s="11" t="s">
        <v>19</v>
      </c>
      <c r="G3" s="48"/>
      <c r="H3" s="13">
        <v>5.5094100000000002E-3</v>
      </c>
      <c r="I3" s="14">
        <v>88054.75</v>
      </c>
      <c r="J3" s="14"/>
      <c r="K3" s="15">
        <v>0</v>
      </c>
      <c r="L3" s="22">
        <f t="shared" ref="L3:L4" si="2">H3*I3</f>
        <v>485.12972019750003</v>
      </c>
      <c r="M3" s="32" t="str">
        <f t="shared" si="0"/>
        <v/>
      </c>
      <c r="N3" s="16" t="str">
        <f t="shared" si="1"/>
        <v/>
      </c>
      <c r="O3" s="17" t="str">
        <f>IF(J3="","",M3/L3)</f>
        <v/>
      </c>
      <c r="P3" s="18" t="str">
        <f>IF(O3="","",(O3/(N3)*365))</f>
        <v/>
      </c>
      <c r="Q3" s="19" t="s">
        <v>20</v>
      </c>
    </row>
    <row r="4" spans="1:17" ht="14" x14ac:dyDescent="0.15">
      <c r="A4" s="1" t="s">
        <v>17</v>
      </c>
      <c r="B4" s="2">
        <v>45625</v>
      </c>
      <c r="C4" s="45"/>
      <c r="D4" s="2">
        <v>45630</v>
      </c>
      <c r="E4" s="1" t="s">
        <v>21</v>
      </c>
      <c r="F4" s="1" t="s">
        <v>19</v>
      </c>
      <c r="G4" s="47"/>
      <c r="H4" s="4">
        <v>0.18</v>
      </c>
      <c r="I4" s="5">
        <v>98722.45</v>
      </c>
      <c r="J4" s="5">
        <v>95392.47</v>
      </c>
      <c r="K4" s="6">
        <v>0</v>
      </c>
      <c r="L4" s="24">
        <f t="shared" si="2"/>
        <v>17770.040999999997</v>
      </c>
      <c r="M4" s="31">
        <f t="shared" si="0"/>
        <v>-599.39639999999929</v>
      </c>
      <c r="N4" s="7">
        <f t="shared" si="1"/>
        <v>5</v>
      </c>
      <c r="O4" s="8">
        <f>IF(J4="","",M4/L4)</f>
        <v>-3.3730726901530471E-2</v>
      </c>
      <c r="P4" s="9">
        <f>IF(O4="","",(O4/(N4)*365))</f>
        <v>-2.4623430638117245</v>
      </c>
      <c r="Q4" s="10" t="s">
        <v>20</v>
      </c>
    </row>
    <row r="5" spans="1:17" x14ac:dyDescent="0.15">
      <c r="A5" s="11" t="s">
        <v>17</v>
      </c>
      <c r="B5" s="20">
        <v>45632</v>
      </c>
      <c r="C5" s="42"/>
      <c r="D5" s="20">
        <v>45632</v>
      </c>
      <c r="E5" s="11" t="s">
        <v>22</v>
      </c>
      <c r="F5" s="21" t="s">
        <v>19</v>
      </c>
      <c r="G5" s="48"/>
      <c r="H5" s="11">
        <v>185</v>
      </c>
      <c r="I5" s="15">
        <v>96.5</v>
      </c>
      <c r="J5" s="15">
        <v>97.4</v>
      </c>
      <c r="K5" s="14">
        <v>0</v>
      </c>
      <c r="L5" s="22">
        <f>H5*I5</f>
        <v>17852.5</v>
      </c>
      <c r="M5" s="32">
        <f t="shared" si="0"/>
        <v>166.50000000000105</v>
      </c>
      <c r="N5" s="16" t="str">
        <f t="shared" si="1"/>
        <v>1</v>
      </c>
      <c r="O5" s="17">
        <f>IF(J5="","",M5/L5)</f>
        <v>9.3264248704663794E-3</v>
      </c>
      <c r="P5" s="18">
        <f>IF(O5="","",(O5/(N5)*365))</f>
        <v>3.4041450777202287</v>
      </c>
      <c r="Q5" s="19"/>
    </row>
    <row r="6" spans="1:17" x14ac:dyDescent="0.15">
      <c r="A6" s="23" t="s">
        <v>23</v>
      </c>
      <c r="B6" s="3">
        <v>45643</v>
      </c>
      <c r="C6" s="43">
        <v>45646</v>
      </c>
      <c r="D6" s="3">
        <v>45643</v>
      </c>
      <c r="E6" s="1" t="s">
        <v>24</v>
      </c>
      <c r="F6" s="23" t="s">
        <v>25</v>
      </c>
      <c r="G6" s="47">
        <v>127</v>
      </c>
      <c r="H6" s="1">
        <v>2</v>
      </c>
      <c r="I6" s="6">
        <v>1.84</v>
      </c>
      <c r="J6" s="6">
        <v>2.4700000000000002</v>
      </c>
      <c r="K6" s="5">
        <v>0.12</v>
      </c>
      <c r="L6" s="24">
        <v>368</v>
      </c>
      <c r="M6" s="31">
        <f t="shared" si="0"/>
        <v>125.76000000000003</v>
      </c>
      <c r="N6" s="7" t="str">
        <f t="shared" si="1"/>
        <v>1</v>
      </c>
      <c r="O6" s="8">
        <f>IF(J6="","",M6/L6)</f>
        <v>0.34173913043478271</v>
      </c>
      <c r="P6" s="9">
        <f>IF(O6="","",(O6/(N6)*365))</f>
        <v>124.7347826086957</v>
      </c>
      <c r="Q6" s="10"/>
    </row>
    <row r="7" spans="1:17" x14ac:dyDescent="0.15">
      <c r="A7" s="21" t="s">
        <v>23</v>
      </c>
      <c r="B7" s="20">
        <v>45643</v>
      </c>
      <c r="C7" s="42">
        <v>45646</v>
      </c>
      <c r="D7" s="20">
        <v>45644</v>
      </c>
      <c r="E7" s="11" t="s">
        <v>26</v>
      </c>
      <c r="F7" s="21" t="s">
        <v>25</v>
      </c>
      <c r="G7" s="48">
        <v>230</v>
      </c>
      <c r="H7" s="11">
        <v>1</v>
      </c>
      <c r="I7" s="15">
        <v>3.3</v>
      </c>
      <c r="J7" s="15">
        <v>8.15</v>
      </c>
      <c r="K7" s="14">
        <v>0.06</v>
      </c>
      <c r="L7" s="22">
        <v>330</v>
      </c>
      <c r="M7" s="32">
        <f t="shared" si="0"/>
        <v>484.94</v>
      </c>
      <c r="N7" s="16">
        <f t="shared" si="1"/>
        <v>1</v>
      </c>
      <c r="O7" s="17">
        <f>IF(J7="","",M7/L7)</f>
        <v>1.4695151515151514</v>
      </c>
      <c r="P7" s="18">
        <f>IF(O7="","",(O7/(N7)*365))</f>
        <v>536.3730303030303</v>
      </c>
      <c r="Q7" s="19"/>
    </row>
    <row r="8" spans="1:17" x14ac:dyDescent="0.15">
      <c r="A8" s="23" t="s">
        <v>23</v>
      </c>
      <c r="B8" s="3">
        <v>45644</v>
      </c>
      <c r="C8" s="43">
        <v>45646</v>
      </c>
      <c r="D8" s="3">
        <v>45644</v>
      </c>
      <c r="E8" s="1" t="s">
        <v>24</v>
      </c>
      <c r="F8" s="23" t="s">
        <v>27</v>
      </c>
      <c r="G8" s="47">
        <v>138</v>
      </c>
      <c r="H8" s="1">
        <v>1</v>
      </c>
      <c r="I8" s="6">
        <v>1.31</v>
      </c>
      <c r="J8" s="6">
        <v>1.0900000000000001</v>
      </c>
      <c r="K8" s="5">
        <v>0.06</v>
      </c>
      <c r="L8" s="24">
        <v>131</v>
      </c>
      <c r="M8" s="31">
        <f t="shared" si="0"/>
        <v>-22.059999999999995</v>
      </c>
      <c r="N8" s="7" t="str">
        <f t="shared" si="1"/>
        <v>1</v>
      </c>
      <c r="O8" s="8">
        <f>IF(J8="","",M8/L8)</f>
        <v>-0.16839694656488546</v>
      </c>
      <c r="P8" s="9">
        <f>IF(O8="","",(O8/(N8)*365))</f>
        <v>-61.464885496183193</v>
      </c>
      <c r="Q8" s="10"/>
    </row>
    <row r="9" spans="1:17" x14ac:dyDescent="0.15">
      <c r="A9" s="21" t="s">
        <v>23</v>
      </c>
      <c r="B9" s="20">
        <v>45645</v>
      </c>
      <c r="C9" s="42">
        <v>45646</v>
      </c>
      <c r="D9" s="20">
        <v>45645</v>
      </c>
      <c r="E9" s="11" t="s">
        <v>28</v>
      </c>
      <c r="F9" s="21" t="s">
        <v>25</v>
      </c>
      <c r="G9" s="13">
        <v>425</v>
      </c>
      <c r="H9" s="11">
        <v>1</v>
      </c>
      <c r="I9" s="15">
        <v>5.05</v>
      </c>
      <c r="J9" s="15">
        <v>7.1</v>
      </c>
      <c r="K9" s="14">
        <v>0.06</v>
      </c>
      <c r="L9" s="22">
        <v>505</v>
      </c>
      <c r="M9" s="32">
        <f t="shared" si="0"/>
        <v>204.94</v>
      </c>
      <c r="N9" s="16" t="str">
        <f t="shared" si="1"/>
        <v>1</v>
      </c>
      <c r="O9" s="17">
        <f>IF(J9="","",M9/L9)</f>
        <v>0.40582178217821779</v>
      </c>
      <c r="P9" s="18">
        <f>IF(O9="","",(O9/(N9)*365))</f>
        <v>148.12495049504949</v>
      </c>
      <c r="Q9" s="19"/>
    </row>
    <row r="10" spans="1:17" x14ac:dyDescent="0.15">
      <c r="A10" s="23" t="s">
        <v>23</v>
      </c>
      <c r="B10" s="3">
        <v>45645</v>
      </c>
      <c r="C10" s="43">
        <v>45646</v>
      </c>
      <c r="D10" s="3">
        <v>45646</v>
      </c>
      <c r="E10" s="1" t="s">
        <v>28</v>
      </c>
      <c r="F10" s="23" t="s">
        <v>25</v>
      </c>
      <c r="G10" s="47">
        <v>400</v>
      </c>
      <c r="H10" s="1">
        <v>1</v>
      </c>
      <c r="I10" s="6">
        <v>2.12</v>
      </c>
      <c r="J10" s="6">
        <v>0.9</v>
      </c>
      <c r="K10" s="5">
        <v>0.06</v>
      </c>
      <c r="L10" s="24">
        <v>212</v>
      </c>
      <c r="M10" s="31">
        <f t="shared" si="0"/>
        <v>-122.06000000000002</v>
      </c>
      <c r="N10" s="7">
        <f t="shared" si="1"/>
        <v>1</v>
      </c>
      <c r="O10" s="8">
        <f>IF(J10="","",M10/L10)</f>
        <v>-0.57575471698113212</v>
      </c>
      <c r="P10" s="9">
        <f>IF(O10="","",(O10/(N10)*365))</f>
        <v>-210.15047169811322</v>
      </c>
      <c r="Q10" s="10"/>
    </row>
    <row r="11" spans="1:17" x14ac:dyDescent="0.15">
      <c r="A11" s="21" t="s">
        <v>23</v>
      </c>
      <c r="B11" s="20">
        <v>45646</v>
      </c>
      <c r="C11" s="42">
        <v>45646</v>
      </c>
      <c r="D11" s="20">
        <v>45646</v>
      </c>
      <c r="E11" s="11" t="s">
        <v>28</v>
      </c>
      <c r="F11" s="21" t="s">
        <v>25</v>
      </c>
      <c r="G11" s="48">
        <v>410</v>
      </c>
      <c r="H11" s="11">
        <v>1</v>
      </c>
      <c r="I11" s="15">
        <v>2.87</v>
      </c>
      <c r="J11" s="15">
        <v>0</v>
      </c>
      <c r="K11" s="14">
        <v>0.06</v>
      </c>
      <c r="L11" s="22">
        <v>287</v>
      </c>
      <c r="M11" s="32">
        <f t="shared" si="0"/>
        <v>-287.06</v>
      </c>
      <c r="N11" s="16" t="str">
        <f t="shared" si="1"/>
        <v>1</v>
      </c>
      <c r="O11" s="17">
        <f>IF(J11="","",M11/L11)</f>
        <v>-1.0002090592334494</v>
      </c>
      <c r="P11" s="18">
        <f>IF(O11="","",(O11/(N11)*365))</f>
        <v>-365.07630662020904</v>
      </c>
      <c r="Q11" s="19"/>
    </row>
    <row r="12" spans="1:17" x14ac:dyDescent="0.15">
      <c r="A12" s="23" t="s">
        <v>23</v>
      </c>
      <c r="B12" s="3">
        <v>45649</v>
      </c>
      <c r="C12" s="43">
        <v>45653</v>
      </c>
      <c r="D12" s="3">
        <v>45650</v>
      </c>
      <c r="E12" s="1" t="s">
        <v>26</v>
      </c>
      <c r="F12" s="23" t="s">
        <v>27</v>
      </c>
      <c r="G12" s="47">
        <v>240</v>
      </c>
      <c r="H12" s="1">
        <v>1</v>
      </c>
      <c r="I12" s="6">
        <v>1.73</v>
      </c>
      <c r="J12" s="6">
        <v>3.3</v>
      </c>
      <c r="K12" s="5">
        <v>0.06</v>
      </c>
      <c r="L12" s="24">
        <v>173</v>
      </c>
      <c r="M12" s="31">
        <f t="shared" si="0"/>
        <v>156.94</v>
      </c>
      <c r="N12" s="7">
        <f t="shared" si="1"/>
        <v>1</v>
      </c>
      <c r="O12" s="8">
        <f>IF(J12="","",M12/L12)</f>
        <v>0.90716763005780343</v>
      </c>
      <c r="P12" s="9">
        <f>IF(O12="","",(O12/(N12)*365))</f>
        <v>331.11618497109828</v>
      </c>
      <c r="Q12" s="10"/>
    </row>
    <row r="13" spans="1:17" x14ac:dyDescent="0.15">
      <c r="A13" s="21" t="s">
        <v>29</v>
      </c>
      <c r="B13" s="20">
        <v>45650</v>
      </c>
      <c r="C13" s="42">
        <v>45674</v>
      </c>
      <c r="D13" s="20">
        <v>45652</v>
      </c>
      <c r="E13" s="11" t="s">
        <v>22</v>
      </c>
      <c r="F13" s="21" t="s">
        <v>25</v>
      </c>
      <c r="G13" s="48">
        <v>79</v>
      </c>
      <c r="H13" s="11">
        <v>1</v>
      </c>
      <c r="I13" s="15">
        <v>0.62</v>
      </c>
      <c r="J13" s="15">
        <v>0.48</v>
      </c>
      <c r="K13" s="14">
        <v>0.06</v>
      </c>
      <c r="L13" s="22">
        <v>7900</v>
      </c>
      <c r="M13" s="32">
        <f t="shared" si="0"/>
        <v>13.940000000000003</v>
      </c>
      <c r="N13" s="16">
        <f t="shared" si="1"/>
        <v>2</v>
      </c>
      <c r="O13" s="17">
        <f>IF(J13="","",M13/L13)</f>
        <v>1.7645569620253169E-3</v>
      </c>
      <c r="P13" s="18">
        <f>IF(O13="","",(O13/(N13)*365))</f>
        <v>0.32203164556962033</v>
      </c>
      <c r="Q13" s="19"/>
    </row>
    <row r="14" spans="1:17" x14ac:dyDescent="0.15">
      <c r="A14" s="23" t="s">
        <v>29</v>
      </c>
      <c r="B14" s="3">
        <v>45650</v>
      </c>
      <c r="C14" s="43">
        <v>45667</v>
      </c>
      <c r="D14" s="3">
        <v>45652</v>
      </c>
      <c r="E14" s="1" t="s">
        <v>24</v>
      </c>
      <c r="F14" s="23" t="s">
        <v>25</v>
      </c>
      <c r="G14" s="47">
        <v>128</v>
      </c>
      <c r="H14" s="1">
        <v>1</v>
      </c>
      <c r="I14" s="6">
        <v>0.84</v>
      </c>
      <c r="J14" s="6">
        <v>0.88</v>
      </c>
      <c r="K14" s="5">
        <v>0.06</v>
      </c>
      <c r="L14" s="24">
        <v>12800</v>
      </c>
      <c r="M14" s="31">
        <f t="shared" si="0"/>
        <v>-4.0600000000000041</v>
      </c>
      <c r="N14" s="7">
        <f t="shared" si="1"/>
        <v>2</v>
      </c>
      <c r="O14" s="8">
        <f>IF(J14="","",M14/L14)</f>
        <v>-3.171875000000003E-4</v>
      </c>
      <c r="P14" s="9">
        <f>IF(O14="","",(O14/(N14)*365))</f>
        <v>-5.7886718750000059E-2</v>
      </c>
      <c r="Q14" s="10"/>
    </row>
    <row r="15" spans="1:17" x14ac:dyDescent="0.15">
      <c r="A15" s="21" t="s">
        <v>23</v>
      </c>
      <c r="B15" s="20">
        <v>45652</v>
      </c>
      <c r="C15" s="42">
        <v>45653</v>
      </c>
      <c r="D15" s="20">
        <v>45653</v>
      </c>
      <c r="E15" s="11" t="s">
        <v>30</v>
      </c>
      <c r="F15" s="21" t="s">
        <v>25</v>
      </c>
      <c r="G15" s="48">
        <v>955</v>
      </c>
      <c r="H15" s="11">
        <v>1</v>
      </c>
      <c r="I15" s="15">
        <v>3.5</v>
      </c>
      <c r="J15" s="15">
        <v>3.65</v>
      </c>
      <c r="K15" s="14">
        <v>0.06</v>
      </c>
      <c r="L15" s="22">
        <v>350</v>
      </c>
      <c r="M15" s="32">
        <f t="shared" si="0"/>
        <v>14.939999999999992</v>
      </c>
      <c r="N15" s="16">
        <f t="shared" si="1"/>
        <v>1</v>
      </c>
      <c r="O15" s="17">
        <f>IF(J15="","",M15/L15)</f>
        <v>4.2685714285714264E-2</v>
      </c>
      <c r="P15" s="18">
        <f>IF(O15="","",(O15/(N15)*365))</f>
        <v>15.580285714285706</v>
      </c>
      <c r="Q15" s="19"/>
    </row>
    <row r="16" spans="1:17" x14ac:dyDescent="0.15">
      <c r="A16" s="23" t="s">
        <v>29</v>
      </c>
      <c r="B16" s="3">
        <v>45652</v>
      </c>
      <c r="C16" s="43">
        <v>45653</v>
      </c>
      <c r="D16" s="3">
        <v>45653</v>
      </c>
      <c r="E16" s="1" t="s">
        <v>26</v>
      </c>
      <c r="F16" s="23" t="s">
        <v>27</v>
      </c>
      <c r="G16" s="47">
        <v>257.5</v>
      </c>
      <c r="H16" s="1">
        <v>1</v>
      </c>
      <c r="I16" s="6">
        <v>0.2</v>
      </c>
      <c r="J16" s="6">
        <v>0</v>
      </c>
      <c r="K16" s="5">
        <v>0.03</v>
      </c>
      <c r="L16" s="24">
        <v>20</v>
      </c>
      <c r="M16" s="31">
        <f t="shared" si="0"/>
        <v>19.970000000000002</v>
      </c>
      <c r="N16" s="7">
        <f t="shared" si="1"/>
        <v>1</v>
      </c>
      <c r="O16" s="8">
        <f>IF(J16="","",M16/L16)</f>
        <v>0.99850000000000017</v>
      </c>
      <c r="P16" s="9">
        <f>IF(O16="","",(O16/(N16)*365))</f>
        <v>364.45250000000004</v>
      </c>
      <c r="Q16" s="10"/>
    </row>
    <row r="17" spans="1:17" x14ac:dyDescent="0.15">
      <c r="A17" s="21" t="s">
        <v>29</v>
      </c>
      <c r="B17" s="20">
        <v>45652</v>
      </c>
      <c r="C17" s="42">
        <v>45653</v>
      </c>
      <c r="D17" s="20">
        <v>45652</v>
      </c>
      <c r="E17" s="11" t="s">
        <v>28</v>
      </c>
      <c r="F17" s="21" t="s">
        <v>25</v>
      </c>
      <c r="G17" s="48">
        <v>435</v>
      </c>
      <c r="H17" s="11">
        <v>1</v>
      </c>
      <c r="I17" s="15">
        <v>1.01</v>
      </c>
      <c r="J17" s="15">
        <v>0</v>
      </c>
      <c r="K17" s="14">
        <v>0.03</v>
      </c>
      <c r="L17" s="22">
        <v>43500</v>
      </c>
      <c r="M17" s="32">
        <f t="shared" si="0"/>
        <v>100.97</v>
      </c>
      <c r="N17" s="16" t="str">
        <f t="shared" si="1"/>
        <v>1</v>
      </c>
      <c r="O17" s="17">
        <f>IF(J17="","",M17/L17)</f>
        <v>2.3211494252873563E-3</v>
      </c>
      <c r="P17" s="18">
        <f>IF(O17="","",(O17/(N17)*365))</f>
        <v>0.8472195402298851</v>
      </c>
      <c r="Q17" s="19"/>
    </row>
    <row r="18" spans="1:17" x14ac:dyDescent="0.15">
      <c r="A18" s="23" t="s">
        <v>31</v>
      </c>
      <c r="B18" s="3">
        <v>45653</v>
      </c>
      <c r="C18" s="43">
        <v>45764</v>
      </c>
      <c r="D18" s="3">
        <v>46024</v>
      </c>
      <c r="E18" s="1" t="s">
        <v>28</v>
      </c>
      <c r="F18" s="23" t="s">
        <v>32</v>
      </c>
      <c r="G18" s="47">
        <v>435</v>
      </c>
      <c r="H18" s="1">
        <v>1</v>
      </c>
      <c r="I18" s="6">
        <v>435</v>
      </c>
      <c r="J18" s="6">
        <v>454</v>
      </c>
      <c r="K18" s="5">
        <v>0</v>
      </c>
      <c r="L18" s="24">
        <v>43500</v>
      </c>
      <c r="M18" s="31">
        <f t="shared" si="0"/>
        <v>1900</v>
      </c>
      <c r="N18" s="7">
        <f t="shared" si="1"/>
        <v>371</v>
      </c>
      <c r="O18" s="8">
        <f>IF(J18="","",M18/L18)</f>
        <v>4.3678160919540229E-2</v>
      </c>
      <c r="P18" s="9">
        <f>IF(O18="","",(O18/(N18)*365))</f>
        <v>4.2971775567741732E-2</v>
      </c>
      <c r="Q18" s="10"/>
    </row>
    <row r="19" spans="1:17" ht="126" x14ac:dyDescent="0.15">
      <c r="A19" s="21" t="s">
        <v>29</v>
      </c>
      <c r="B19" s="20">
        <v>45656</v>
      </c>
      <c r="C19" s="42">
        <v>46038</v>
      </c>
      <c r="D19" s="20">
        <v>46024</v>
      </c>
      <c r="E19" s="11" t="s">
        <v>28</v>
      </c>
      <c r="F19" s="21" t="s">
        <v>27</v>
      </c>
      <c r="G19" s="48">
        <v>400</v>
      </c>
      <c r="H19" s="11">
        <v>1</v>
      </c>
      <c r="I19" s="15">
        <f>9+5.85-4.05+26.7+1.3+7.13+7.08+10.03+7.53+2.53+4.3+0.3+2+5.53+5+9.75-2.5</f>
        <v>97.47999999999999</v>
      </c>
      <c r="J19" s="15">
        <v>56.45</v>
      </c>
      <c r="K19" s="14">
        <f>0.04+0.72+0.08+0.08+0.08+0.08+0.08+0.08+0.08+0.02</f>
        <v>1.34</v>
      </c>
      <c r="L19" s="22">
        <v>43500</v>
      </c>
      <c r="M19" s="32">
        <f t="shared" si="0"/>
        <v>4101.6599999999989</v>
      </c>
      <c r="N19" s="16">
        <f t="shared" si="1"/>
        <v>368</v>
      </c>
      <c r="O19" s="17">
        <f>IF(J19="","",M19/L19)</f>
        <v>9.4291034482758593E-2</v>
      </c>
      <c r="P19" s="18">
        <f>IF(O19="","",(O19/(N19)*365))</f>
        <v>9.3522357571214354E-2</v>
      </c>
      <c r="Q19" s="19" t="s">
        <v>33</v>
      </c>
    </row>
    <row r="20" spans="1:17" x14ac:dyDescent="0.15">
      <c r="A20" s="23" t="s">
        <v>17</v>
      </c>
      <c r="B20" s="3">
        <v>45653</v>
      </c>
      <c r="C20" s="43">
        <v>45856</v>
      </c>
      <c r="D20" s="3">
        <v>45856</v>
      </c>
      <c r="E20" s="1" t="s">
        <v>28</v>
      </c>
      <c r="F20" s="23" t="s">
        <v>19</v>
      </c>
      <c r="G20" s="47"/>
      <c r="H20" s="1">
        <v>1</v>
      </c>
      <c r="I20" s="6">
        <v>435.07</v>
      </c>
      <c r="J20" s="6">
        <v>326</v>
      </c>
      <c r="K20" s="5">
        <v>0</v>
      </c>
      <c r="L20" s="24">
        <v>435.07</v>
      </c>
      <c r="M20" s="31">
        <f t="shared" si="0"/>
        <v>-109.07</v>
      </c>
      <c r="N20" s="7">
        <f t="shared" si="1"/>
        <v>203</v>
      </c>
      <c r="O20" s="8">
        <f>IF(J20="","",M20/L20)</f>
        <v>-0.25069529041303695</v>
      </c>
      <c r="P20" s="9">
        <f>IF(O20="","",(O20/(N20)*365))</f>
        <v>-0.45075754187565759</v>
      </c>
      <c r="Q20" s="10"/>
    </row>
    <row r="21" spans="1:17" ht="42" x14ac:dyDescent="0.15">
      <c r="A21" s="21" t="s">
        <v>29</v>
      </c>
      <c r="B21" s="20">
        <v>45656</v>
      </c>
      <c r="C21" s="42">
        <v>45695</v>
      </c>
      <c r="D21" s="20">
        <v>45695</v>
      </c>
      <c r="E21" s="11" t="s">
        <v>26</v>
      </c>
      <c r="F21" s="21" t="s">
        <v>27</v>
      </c>
      <c r="G21" s="48">
        <v>250</v>
      </c>
      <c r="H21" s="11">
        <v>1</v>
      </c>
      <c r="I21" s="15">
        <f>0.56+1.01+1.03+1.3+1.36</f>
        <v>5.2600000000000007</v>
      </c>
      <c r="J21" s="15">
        <v>0</v>
      </c>
      <c r="K21" s="14">
        <v>0.15</v>
      </c>
      <c r="L21" s="22">
        <v>5300</v>
      </c>
      <c r="M21" s="32">
        <f t="shared" si="0"/>
        <v>525.85</v>
      </c>
      <c r="N21" s="16">
        <f t="shared" si="1"/>
        <v>39</v>
      </c>
      <c r="O21" s="17">
        <f>IF(J21="","",M21/L21)</f>
        <v>9.9216981132075471E-2</v>
      </c>
      <c r="P21" s="18">
        <f>IF(O21="","",(O21/(N21)*365))</f>
        <v>0.92856918238993713</v>
      </c>
      <c r="Q21" s="19" t="s">
        <v>34</v>
      </c>
    </row>
    <row r="22" spans="1:17" ht="42" x14ac:dyDescent="0.15">
      <c r="A22" s="23" t="s">
        <v>29</v>
      </c>
      <c r="B22" s="3">
        <v>45656</v>
      </c>
      <c r="C22" s="43">
        <v>45695</v>
      </c>
      <c r="D22" s="3">
        <v>45695</v>
      </c>
      <c r="E22" s="1" t="s">
        <v>35</v>
      </c>
      <c r="F22" s="23" t="s">
        <v>27</v>
      </c>
      <c r="G22" s="47">
        <v>200</v>
      </c>
      <c r="H22" s="1">
        <v>1</v>
      </c>
      <c r="I22" s="6">
        <f>0.35+0.61+0.24+1.64+1.25+1.33</f>
        <v>5.42</v>
      </c>
      <c r="J22" s="6">
        <v>0</v>
      </c>
      <c r="K22" s="5">
        <v>0.15</v>
      </c>
      <c r="L22" s="24">
        <v>11800</v>
      </c>
      <c r="M22" s="31">
        <f t="shared" si="0"/>
        <v>541.85</v>
      </c>
      <c r="N22" s="7">
        <f t="shared" si="1"/>
        <v>39</v>
      </c>
      <c r="O22" s="8">
        <f>IF(J22="","",M22/L22)</f>
        <v>4.5919491525423732E-2</v>
      </c>
      <c r="P22" s="9">
        <f>IF(O22="","",(O22/(N22)*365))</f>
        <v>0.4297593437635811</v>
      </c>
      <c r="Q22" s="10" t="s">
        <v>36</v>
      </c>
    </row>
    <row r="23" spans="1:17" ht="28" x14ac:dyDescent="0.15">
      <c r="A23" s="21" t="s">
        <v>23</v>
      </c>
      <c r="B23" s="20">
        <v>45656</v>
      </c>
      <c r="C23" s="42">
        <v>45660</v>
      </c>
      <c r="D23" s="20">
        <v>45667</v>
      </c>
      <c r="E23" s="11" t="s">
        <v>28</v>
      </c>
      <c r="F23" s="21" t="s">
        <v>25</v>
      </c>
      <c r="G23" s="48">
        <v>415</v>
      </c>
      <c r="H23" s="11">
        <v>1</v>
      </c>
      <c r="I23" s="15">
        <v>10</v>
      </c>
      <c r="J23" s="15">
        <f>9.88+4.1+0</f>
        <v>13.98</v>
      </c>
      <c r="K23" s="14">
        <v>0.15</v>
      </c>
      <c r="L23" s="22">
        <v>1000</v>
      </c>
      <c r="M23" s="32">
        <f t="shared" si="0"/>
        <v>397.85</v>
      </c>
      <c r="N23" s="16">
        <f t="shared" si="1"/>
        <v>11</v>
      </c>
      <c r="O23" s="17">
        <f>IF(J23="","",M23/L23)</f>
        <v>0.39785000000000004</v>
      </c>
      <c r="P23" s="18">
        <f>IF(O23="","",(O23/(N23)*365))</f>
        <v>13.201386363636365</v>
      </c>
      <c r="Q23" s="19" t="s">
        <v>37</v>
      </c>
    </row>
    <row r="24" spans="1:17" ht="28" x14ac:dyDescent="0.15">
      <c r="A24" s="23" t="s">
        <v>29</v>
      </c>
      <c r="B24" s="3">
        <v>45659</v>
      </c>
      <c r="C24" s="43">
        <v>45695</v>
      </c>
      <c r="D24" s="3">
        <v>45695</v>
      </c>
      <c r="E24" s="1" t="s">
        <v>38</v>
      </c>
      <c r="F24" s="23" t="s">
        <v>25</v>
      </c>
      <c r="G24" s="47">
        <v>65</v>
      </c>
      <c r="H24" s="1">
        <v>1</v>
      </c>
      <c r="I24" s="6">
        <f>1.51+0.51+0.3</f>
        <v>2.3199999999999998</v>
      </c>
      <c r="J24" s="6">
        <v>0</v>
      </c>
      <c r="K24" s="5">
        <v>0.08</v>
      </c>
      <c r="L24" s="24">
        <v>6400</v>
      </c>
      <c r="M24" s="31">
        <f t="shared" si="0"/>
        <v>231.92</v>
      </c>
      <c r="N24" s="7">
        <f t="shared" si="1"/>
        <v>36</v>
      </c>
      <c r="O24" s="8">
        <f>IF(J24="","",M24/L24)</f>
        <v>3.6237499999999999E-2</v>
      </c>
      <c r="P24" s="9">
        <f>IF(O24="","",(O24/(N24)*365))</f>
        <v>0.36740798611111108</v>
      </c>
      <c r="Q24" s="10" t="s">
        <v>39</v>
      </c>
    </row>
    <row r="25" spans="1:17" x14ac:dyDescent="0.15">
      <c r="A25" s="21" t="s">
        <v>29</v>
      </c>
      <c r="B25" s="20">
        <v>45659</v>
      </c>
      <c r="C25" s="42">
        <v>45688</v>
      </c>
      <c r="D25" s="20">
        <v>45688</v>
      </c>
      <c r="E25" s="11" t="s">
        <v>40</v>
      </c>
      <c r="F25" s="21" t="s">
        <v>25</v>
      </c>
      <c r="G25" s="48">
        <v>87</v>
      </c>
      <c r="H25" s="11">
        <v>1</v>
      </c>
      <c r="I25" s="15">
        <v>0.85</v>
      </c>
      <c r="J25" s="15">
        <v>0</v>
      </c>
      <c r="K25" s="14">
        <v>0.03</v>
      </c>
      <c r="L25" s="22">
        <v>8700</v>
      </c>
      <c r="M25" s="32">
        <f t="shared" si="0"/>
        <v>84.97</v>
      </c>
      <c r="N25" s="16">
        <f t="shared" si="1"/>
        <v>29</v>
      </c>
      <c r="O25" s="17">
        <f>IF(J25="","",M25/L25)</f>
        <v>9.7666666666666666E-3</v>
      </c>
      <c r="P25" s="18">
        <f>IF(O25="","",(O25/(N25)*365))</f>
        <v>0.12292528735632184</v>
      </c>
      <c r="Q25" s="19"/>
    </row>
    <row r="26" spans="1:17" ht="14" x14ac:dyDescent="0.15">
      <c r="A26" s="23" t="s">
        <v>29</v>
      </c>
      <c r="B26" s="3">
        <v>45664</v>
      </c>
      <c r="C26" s="43">
        <v>45688</v>
      </c>
      <c r="D26" s="3">
        <v>45688</v>
      </c>
      <c r="E26" s="1" t="s">
        <v>24</v>
      </c>
      <c r="F26" s="23" t="s">
        <v>25</v>
      </c>
      <c r="G26" s="47">
        <v>130</v>
      </c>
      <c r="H26" s="1">
        <v>1</v>
      </c>
      <c r="I26" s="6">
        <f>2.2-0.45</f>
        <v>1.7500000000000002</v>
      </c>
      <c r="J26" s="6">
        <v>0</v>
      </c>
      <c r="K26" s="5">
        <v>0.03</v>
      </c>
      <c r="L26" s="24">
        <v>13000</v>
      </c>
      <c r="M26" s="31">
        <f t="shared" si="0"/>
        <v>174.97000000000003</v>
      </c>
      <c r="N26" s="7">
        <f t="shared" si="1"/>
        <v>24</v>
      </c>
      <c r="O26" s="8">
        <f>IF(J26="","",M26/L26)</f>
        <v>1.3459230769230772E-2</v>
      </c>
      <c r="P26" s="9">
        <f>IF(O26="","",(O26/(N26)*365))</f>
        <v>0.20469246794871798</v>
      </c>
      <c r="Q26" s="10" t="s">
        <v>41</v>
      </c>
    </row>
    <row r="27" spans="1:17" ht="14" x14ac:dyDescent="0.15">
      <c r="A27" s="21" t="s">
        <v>29</v>
      </c>
      <c r="B27" s="20">
        <v>45664</v>
      </c>
      <c r="C27" s="42">
        <v>45688</v>
      </c>
      <c r="D27" s="20">
        <v>45688</v>
      </c>
      <c r="E27" s="11" t="s">
        <v>42</v>
      </c>
      <c r="F27" s="21" t="s">
        <v>25</v>
      </c>
      <c r="G27" s="48">
        <v>13</v>
      </c>
      <c r="H27" s="11">
        <v>5</v>
      </c>
      <c r="I27" s="15">
        <f>0.28+0.23</f>
        <v>0.51</v>
      </c>
      <c r="J27" s="15">
        <v>0</v>
      </c>
      <c r="K27" s="14">
        <v>0.43</v>
      </c>
      <c r="L27" s="22">
        <v>6500</v>
      </c>
      <c r="M27" s="32">
        <f t="shared" si="0"/>
        <v>252.85000000000002</v>
      </c>
      <c r="N27" s="16">
        <f t="shared" si="1"/>
        <v>24</v>
      </c>
      <c r="O27" s="17">
        <f>IF(J27="","",M27/L27)</f>
        <v>3.8900000000000004E-2</v>
      </c>
      <c r="P27" s="18">
        <f>IF(O27="","",(O27/(N27)*365))</f>
        <v>0.59160416666666671</v>
      </c>
      <c r="Q27" s="19" t="s">
        <v>43</v>
      </c>
    </row>
    <row r="28" spans="1:17" x14ac:dyDescent="0.15">
      <c r="A28" s="23" t="s">
        <v>23</v>
      </c>
      <c r="B28" s="3">
        <v>45670</v>
      </c>
      <c r="C28" s="43">
        <v>45681</v>
      </c>
      <c r="D28" s="3">
        <v>45681</v>
      </c>
      <c r="E28" s="1" t="s">
        <v>28</v>
      </c>
      <c r="F28" s="23" t="s">
        <v>25</v>
      </c>
      <c r="G28" s="47">
        <v>365</v>
      </c>
      <c r="H28" s="1">
        <v>1</v>
      </c>
      <c r="I28" s="6">
        <v>6.95</v>
      </c>
      <c r="J28" s="6">
        <v>0</v>
      </c>
      <c r="K28" s="5">
        <v>0.04</v>
      </c>
      <c r="L28" s="24">
        <v>695</v>
      </c>
      <c r="M28" s="31">
        <f t="shared" si="0"/>
        <v>-695.04</v>
      </c>
      <c r="N28" s="7">
        <f t="shared" si="1"/>
        <v>11</v>
      </c>
      <c r="O28" s="8">
        <f>IF(J28="","",M28/L28)</f>
        <v>-1.0000575539568344</v>
      </c>
      <c r="P28" s="9">
        <f>IF(O28="","",(O28/(N28)*365))</f>
        <v>-33.183727926749505</v>
      </c>
      <c r="Q28" s="10"/>
    </row>
    <row r="29" spans="1:17" x14ac:dyDescent="0.15">
      <c r="A29" s="21" t="s">
        <v>29</v>
      </c>
      <c r="B29" s="20">
        <v>45670</v>
      </c>
      <c r="C29" s="42">
        <v>45695</v>
      </c>
      <c r="D29" s="20">
        <v>45695</v>
      </c>
      <c r="E29" s="11" t="s">
        <v>44</v>
      </c>
      <c r="F29" s="21" t="s">
        <v>25</v>
      </c>
      <c r="G29" s="48">
        <v>330</v>
      </c>
      <c r="H29" s="11">
        <v>1</v>
      </c>
      <c r="I29" s="15">
        <v>4.1500000000000004</v>
      </c>
      <c r="J29" s="15">
        <v>0</v>
      </c>
      <c r="K29" s="14">
        <v>0.04</v>
      </c>
      <c r="L29" s="22">
        <v>33000</v>
      </c>
      <c r="M29" s="32">
        <f t="shared" si="0"/>
        <v>414.96000000000004</v>
      </c>
      <c r="N29" s="16">
        <f t="shared" si="1"/>
        <v>25</v>
      </c>
      <c r="O29" s="17">
        <f>IF(J29="","",M29/L29)</f>
        <v>1.2574545454545456E-2</v>
      </c>
      <c r="P29" s="18">
        <f>IF(O29="","",(O29/(N29)*365))</f>
        <v>0.18358836363636369</v>
      </c>
      <c r="Q29" s="19"/>
    </row>
    <row r="30" spans="1:17" x14ac:dyDescent="0.15">
      <c r="A30" s="23" t="s">
        <v>23</v>
      </c>
      <c r="B30" s="3">
        <v>45679</v>
      </c>
      <c r="C30" s="43">
        <v>46038</v>
      </c>
      <c r="D30" s="3">
        <v>45999</v>
      </c>
      <c r="E30" s="1" t="s">
        <v>42</v>
      </c>
      <c r="F30" s="23" t="s">
        <v>27</v>
      </c>
      <c r="G30" s="47">
        <v>5</v>
      </c>
      <c r="H30" s="1">
        <v>2</v>
      </c>
      <c r="I30" s="6">
        <v>13</v>
      </c>
      <c r="J30" s="6">
        <v>22.2</v>
      </c>
      <c r="K30" s="5">
        <f>0.08+0.08</f>
        <v>0.16</v>
      </c>
      <c r="L30" s="24">
        <v>2600</v>
      </c>
      <c r="M30" s="31">
        <f t="shared" si="0"/>
        <v>1839.6799999999998</v>
      </c>
      <c r="N30" s="7">
        <f t="shared" si="1"/>
        <v>320</v>
      </c>
      <c r="O30" s="8">
        <f>IF(J30="","",M30/L30)</f>
        <v>0.70756923076923073</v>
      </c>
      <c r="P30" s="9">
        <f>IF(O30="","",(O30/(N30)*365))</f>
        <v>0.80707115384615391</v>
      </c>
      <c r="Q30" s="10"/>
    </row>
    <row r="31" spans="1:17" x14ac:dyDescent="0.15">
      <c r="A31" s="21" t="s">
        <v>29</v>
      </c>
      <c r="B31" s="20">
        <v>45680</v>
      </c>
      <c r="C31" s="42">
        <v>45702</v>
      </c>
      <c r="D31" s="20">
        <v>45698</v>
      </c>
      <c r="E31" s="11" t="s">
        <v>45</v>
      </c>
      <c r="F31" s="21" t="s">
        <v>25</v>
      </c>
      <c r="G31" s="48">
        <v>17</v>
      </c>
      <c r="H31" s="11">
        <v>10</v>
      </c>
      <c r="I31" s="15">
        <v>0.54</v>
      </c>
      <c r="J31" s="15">
        <v>0.37</v>
      </c>
      <c r="K31" s="14">
        <v>0.4</v>
      </c>
      <c r="L31" s="22">
        <v>17000</v>
      </c>
      <c r="M31" s="32">
        <f t="shared" si="0"/>
        <v>166.00000000000003</v>
      </c>
      <c r="N31" s="16">
        <f t="shared" si="1"/>
        <v>18</v>
      </c>
      <c r="O31" s="17">
        <f>IF(J31="","",M31/L31)</f>
        <v>9.7647058823529427E-3</v>
      </c>
      <c r="P31" s="18">
        <f>IF(O31="","",(O31/(N31)*365))</f>
        <v>0.19800653594771245</v>
      </c>
      <c r="Q31" s="19"/>
    </row>
    <row r="32" spans="1:17" ht="42" x14ac:dyDescent="0.15">
      <c r="A32" s="23" t="s">
        <v>29</v>
      </c>
      <c r="B32" s="3">
        <v>45680</v>
      </c>
      <c r="C32" s="43">
        <v>45828</v>
      </c>
      <c r="D32" s="3">
        <v>45779</v>
      </c>
      <c r="E32" s="1" t="s">
        <v>24</v>
      </c>
      <c r="F32" s="23" t="s">
        <v>25</v>
      </c>
      <c r="G32" s="47">
        <v>122.5</v>
      </c>
      <c r="H32" s="1">
        <v>2</v>
      </c>
      <c r="I32" s="6">
        <f>1.2+0.93+1.55+0.96+0</f>
        <v>4.6399999999999997</v>
      </c>
      <c r="J32" s="6">
        <v>12.65</v>
      </c>
      <c r="K32" s="5">
        <v>0.64</v>
      </c>
      <c r="L32" s="24">
        <v>26400</v>
      </c>
      <c r="M32" s="31">
        <f t="shared" si="0"/>
        <v>-1603.2800000000002</v>
      </c>
      <c r="N32" s="7">
        <f t="shared" si="1"/>
        <v>99</v>
      </c>
      <c r="O32" s="8">
        <f>IF(J32="","",M32/L32)</f>
        <v>-6.0730303030303037E-2</v>
      </c>
      <c r="P32" s="9">
        <f>IF(O32="","",(O32/(N32)*365))</f>
        <v>-0.22390465258647077</v>
      </c>
      <c r="Q32" s="10" t="s">
        <v>46</v>
      </c>
    </row>
    <row r="33" spans="1:17" ht="14" x14ac:dyDescent="0.15">
      <c r="A33" s="21" t="s">
        <v>29</v>
      </c>
      <c r="B33" s="20">
        <v>45681</v>
      </c>
      <c r="C33" s="42">
        <v>45702</v>
      </c>
      <c r="D33" s="20">
        <v>45695</v>
      </c>
      <c r="E33" s="11" t="s">
        <v>47</v>
      </c>
      <c r="F33" s="21" t="s">
        <v>25</v>
      </c>
      <c r="G33" s="48">
        <v>240</v>
      </c>
      <c r="H33" s="11">
        <v>1</v>
      </c>
      <c r="I33" s="15">
        <v>2.0699999999999998</v>
      </c>
      <c r="J33" s="15">
        <f>5+0.4</f>
        <v>5.4</v>
      </c>
      <c r="K33" s="14">
        <v>0.16</v>
      </c>
      <c r="L33" s="22">
        <v>207</v>
      </c>
      <c r="M33" s="32">
        <f t="shared" si="0"/>
        <v>-333.16</v>
      </c>
      <c r="N33" s="16">
        <f t="shared" si="1"/>
        <v>14</v>
      </c>
      <c r="O33" s="17">
        <f>IF(J33="","",M33/L33)</f>
        <v>-1.6094685990338164</v>
      </c>
      <c r="P33" s="18">
        <f>IF(O33="","",(O33/(N33)*365))</f>
        <v>-41.961145617667356</v>
      </c>
      <c r="Q33" s="19" t="s">
        <v>48</v>
      </c>
    </row>
    <row r="34" spans="1:17" x14ac:dyDescent="0.15">
      <c r="A34" s="23" t="s">
        <v>31</v>
      </c>
      <c r="B34" s="3">
        <v>45691</v>
      </c>
      <c r="C34" s="43"/>
      <c r="D34" s="3">
        <v>45821</v>
      </c>
      <c r="E34" s="1" t="s">
        <v>24</v>
      </c>
      <c r="F34" s="23" t="s">
        <v>32</v>
      </c>
      <c r="G34" s="47">
        <v>130</v>
      </c>
      <c r="H34" s="1">
        <v>1</v>
      </c>
      <c r="I34" s="6">
        <v>130</v>
      </c>
      <c r="J34" s="6">
        <v>141</v>
      </c>
      <c r="K34" s="5">
        <v>0.01</v>
      </c>
      <c r="L34" s="24">
        <v>13000</v>
      </c>
      <c r="M34" s="31">
        <f t="shared" si="0"/>
        <v>1099.99</v>
      </c>
      <c r="N34" s="7">
        <f t="shared" si="1"/>
        <v>130</v>
      </c>
      <c r="O34" s="8">
        <f>IF(J34="","",M34/L34)</f>
        <v>8.4614615384615385E-2</v>
      </c>
      <c r="P34" s="9">
        <f>IF(O34="","",(O34/(N34)*365))</f>
        <v>0.2375718047337278</v>
      </c>
      <c r="Q34" s="10"/>
    </row>
    <row r="35" spans="1:17" ht="28" x14ac:dyDescent="0.15">
      <c r="A35" s="21" t="s">
        <v>29</v>
      </c>
      <c r="B35" s="20">
        <v>45691</v>
      </c>
      <c r="C35" s="42">
        <v>45764</v>
      </c>
      <c r="D35" s="20">
        <v>45764</v>
      </c>
      <c r="E35" s="20" t="s">
        <v>24</v>
      </c>
      <c r="F35" s="21" t="s">
        <v>27</v>
      </c>
      <c r="G35" s="48">
        <v>125</v>
      </c>
      <c r="H35" s="11">
        <v>1</v>
      </c>
      <c r="I35" s="15">
        <f>2+1+2.57+1.65</f>
        <v>7.2200000000000006</v>
      </c>
      <c r="J35" s="15">
        <v>0</v>
      </c>
      <c r="K35" s="14">
        <f>0.16+0.08</f>
        <v>0.24</v>
      </c>
      <c r="L35" s="22">
        <v>13000</v>
      </c>
      <c r="M35" s="32">
        <f t="shared" si="0"/>
        <v>721.7600000000001</v>
      </c>
      <c r="N35" s="16">
        <f t="shared" si="1"/>
        <v>73</v>
      </c>
      <c r="O35" s="17">
        <f>IF(J35="","",M35/L35)</f>
        <v>5.5520000000000007E-2</v>
      </c>
      <c r="P35" s="18">
        <f>IF(O35="","",(O35/(N35)*365))</f>
        <v>0.27760000000000001</v>
      </c>
      <c r="Q35" s="19" t="s">
        <v>49</v>
      </c>
    </row>
    <row r="36" spans="1:17" x14ac:dyDescent="0.15">
      <c r="A36" s="23" t="s">
        <v>29</v>
      </c>
      <c r="B36" s="3">
        <v>45691</v>
      </c>
      <c r="C36" s="43">
        <v>45702</v>
      </c>
      <c r="D36" s="3">
        <v>45698</v>
      </c>
      <c r="E36" s="3" t="s">
        <v>24</v>
      </c>
      <c r="F36" s="23" t="s">
        <v>25</v>
      </c>
      <c r="G36" s="47">
        <v>108</v>
      </c>
      <c r="H36" s="1">
        <v>2</v>
      </c>
      <c r="I36" s="6">
        <v>2</v>
      </c>
      <c r="J36" s="6">
        <v>0.04</v>
      </c>
      <c r="K36" s="5">
        <v>0.16</v>
      </c>
      <c r="L36" s="24">
        <v>21600</v>
      </c>
      <c r="M36" s="31">
        <f t="shared" si="0"/>
        <v>391.68</v>
      </c>
      <c r="N36" s="7">
        <f t="shared" si="1"/>
        <v>7</v>
      </c>
      <c r="O36" s="8">
        <f>IF(J36="","",M36/L36)</f>
        <v>1.8133333333333335E-2</v>
      </c>
      <c r="P36" s="9">
        <f>IF(O36="","",(O36/(N36)*365))</f>
        <v>0.94552380952380966</v>
      </c>
      <c r="Q36" s="10"/>
    </row>
    <row r="37" spans="1:17" ht="42" x14ac:dyDescent="0.15">
      <c r="A37" s="21" t="s">
        <v>29</v>
      </c>
      <c r="B37" s="20">
        <v>45698</v>
      </c>
      <c r="C37" s="42">
        <v>45744</v>
      </c>
      <c r="D37" s="20">
        <v>45744</v>
      </c>
      <c r="E37" s="20" t="s">
        <v>26</v>
      </c>
      <c r="F37" s="21" t="s">
        <v>27</v>
      </c>
      <c r="G37" s="48">
        <v>210</v>
      </c>
      <c r="H37" s="11">
        <v>1</v>
      </c>
      <c r="I37" s="15">
        <f>3.35+3+1.8+3.79+2.02</f>
        <v>13.96</v>
      </c>
      <c r="J37" s="15">
        <v>0</v>
      </c>
      <c r="K37" s="15">
        <f>0.04+0.08+0.08+0.08</f>
        <v>0.28000000000000003</v>
      </c>
      <c r="L37" s="22">
        <v>1</v>
      </c>
      <c r="M37" s="32">
        <f t="shared" si="0"/>
        <v>1395.72</v>
      </c>
      <c r="N37" s="16">
        <f t="shared" si="1"/>
        <v>46</v>
      </c>
      <c r="O37" s="17">
        <f>IF(J37="","",M37/L37)</f>
        <v>1395.72</v>
      </c>
      <c r="P37" s="18">
        <f>IF(O37="","",(O37/(N37)*365))</f>
        <v>11074.734782608695</v>
      </c>
      <c r="Q37" s="19" t="s">
        <v>50</v>
      </c>
    </row>
    <row r="38" spans="1:17" x14ac:dyDescent="0.15">
      <c r="A38" s="23" t="s">
        <v>29</v>
      </c>
      <c r="B38" s="3">
        <v>45698</v>
      </c>
      <c r="C38" s="43">
        <v>45723</v>
      </c>
      <c r="D38" s="3">
        <v>45723</v>
      </c>
      <c r="E38" s="3" t="s">
        <v>35</v>
      </c>
      <c r="F38" s="23" t="s">
        <v>27</v>
      </c>
      <c r="G38" s="47">
        <v>200</v>
      </c>
      <c r="H38" s="1">
        <v>1</v>
      </c>
      <c r="I38" s="6">
        <v>1.35</v>
      </c>
      <c r="J38" s="6">
        <v>0</v>
      </c>
      <c r="K38" s="5">
        <v>0.04</v>
      </c>
      <c r="L38" s="24">
        <v>1</v>
      </c>
      <c r="M38" s="31">
        <f t="shared" si="0"/>
        <v>134.96</v>
      </c>
      <c r="N38" s="7">
        <f t="shared" si="1"/>
        <v>25</v>
      </c>
      <c r="O38" s="8">
        <f>IF(J38="","",M38/L38)</f>
        <v>134.96</v>
      </c>
      <c r="P38" s="9">
        <f>IF(O38="","",(O38/(N38)*365))</f>
        <v>1970.4160000000002</v>
      </c>
      <c r="Q38" s="10"/>
    </row>
    <row r="39" spans="1:17" ht="28" x14ac:dyDescent="0.15">
      <c r="A39" s="21" t="s">
        <v>29</v>
      </c>
      <c r="B39" s="20">
        <v>45698</v>
      </c>
      <c r="C39" s="42">
        <v>45702</v>
      </c>
      <c r="D39" s="20">
        <v>45702</v>
      </c>
      <c r="E39" s="20" t="s">
        <v>51</v>
      </c>
      <c r="F39" s="21" t="s">
        <v>25</v>
      </c>
      <c r="G39" s="48">
        <v>522</v>
      </c>
      <c r="H39" s="11">
        <v>1</v>
      </c>
      <c r="I39" s="15">
        <f>1.1+1.22+1.03</f>
        <v>3.3500000000000005</v>
      </c>
      <c r="J39" s="15">
        <v>0</v>
      </c>
      <c r="K39" s="14">
        <f>0.04+0.08+0.08</f>
        <v>0.2</v>
      </c>
      <c r="L39" s="22">
        <v>52600</v>
      </c>
      <c r="M39" s="32">
        <f t="shared" si="0"/>
        <v>334.80000000000007</v>
      </c>
      <c r="N39" s="16">
        <f t="shared" si="1"/>
        <v>4</v>
      </c>
      <c r="O39" s="17">
        <f>IF(J39="","",M39/L39)</f>
        <v>6.3650190114068455E-3</v>
      </c>
      <c r="P39" s="18">
        <f>IF(O39="","",(O39/(N39)*365))</f>
        <v>0.5808079847908747</v>
      </c>
      <c r="Q39" s="19" t="s">
        <v>52</v>
      </c>
    </row>
    <row r="40" spans="1:17" ht="14" x14ac:dyDescent="0.15">
      <c r="A40" s="23" t="s">
        <v>29</v>
      </c>
      <c r="B40" s="3">
        <v>45707</v>
      </c>
      <c r="C40" s="43">
        <v>45709</v>
      </c>
      <c r="D40" s="20">
        <v>45709</v>
      </c>
      <c r="E40" s="3" t="s">
        <v>38</v>
      </c>
      <c r="F40" s="23" t="s">
        <v>25</v>
      </c>
      <c r="G40" s="47">
        <v>98</v>
      </c>
      <c r="H40" s="1">
        <v>1</v>
      </c>
      <c r="I40" s="6">
        <f>1-0.25</f>
        <v>0.75</v>
      </c>
      <c r="J40" s="6">
        <v>0</v>
      </c>
      <c r="K40" s="5">
        <f>0.04+0.08</f>
        <v>0.12</v>
      </c>
      <c r="L40" s="24">
        <v>10000</v>
      </c>
      <c r="M40" s="31">
        <f t="shared" si="0"/>
        <v>74.88</v>
      </c>
      <c r="N40" s="7">
        <f t="shared" si="1"/>
        <v>2</v>
      </c>
      <c r="O40" s="8">
        <f>IF(J40="","",M40/L40)</f>
        <v>7.4879999999999999E-3</v>
      </c>
      <c r="P40" s="9">
        <f>IF(O40="","",(O40/(N40)*365))</f>
        <v>1.36656</v>
      </c>
      <c r="Q40" s="10" t="s">
        <v>53</v>
      </c>
    </row>
    <row r="41" spans="1:17" ht="14" x14ac:dyDescent="0.15">
      <c r="A41" s="21" t="s">
        <v>29</v>
      </c>
      <c r="B41" s="20">
        <v>45706</v>
      </c>
      <c r="C41" s="43">
        <v>45706</v>
      </c>
      <c r="D41" s="20">
        <v>45706</v>
      </c>
      <c r="E41" s="20" t="s">
        <v>54</v>
      </c>
      <c r="F41" s="21" t="s">
        <v>25</v>
      </c>
      <c r="G41" s="48">
        <v>610</v>
      </c>
      <c r="H41" s="11">
        <v>1</v>
      </c>
      <c r="I41" s="15">
        <f>0.72-0.47</f>
        <v>0.25</v>
      </c>
      <c r="J41" s="15">
        <v>0</v>
      </c>
      <c r="K41" s="14">
        <v>0.08</v>
      </c>
      <c r="L41" s="22">
        <v>61000</v>
      </c>
      <c r="M41" s="32">
        <f t="shared" si="0"/>
        <v>24.92</v>
      </c>
      <c r="N41" s="16" t="str">
        <f t="shared" si="1"/>
        <v>1</v>
      </c>
      <c r="O41" s="17">
        <f>IF(J41="","",M41/L41)</f>
        <v>4.0852459016393444E-4</v>
      </c>
      <c r="P41" s="18">
        <f>IF(O41="","",(O41/(N41)*365))</f>
        <v>0.14911147540983608</v>
      </c>
      <c r="Q41" s="19" t="s">
        <v>55</v>
      </c>
    </row>
    <row r="42" spans="1:17" x14ac:dyDescent="0.15">
      <c r="A42" s="23" t="s">
        <v>29</v>
      </c>
      <c r="B42" s="3">
        <v>45712</v>
      </c>
      <c r="C42" s="46">
        <v>45716</v>
      </c>
      <c r="D42" s="3">
        <v>45716</v>
      </c>
      <c r="E42" s="3" t="s">
        <v>38</v>
      </c>
      <c r="F42" s="23" t="s">
        <v>25</v>
      </c>
      <c r="G42" s="47">
        <v>85</v>
      </c>
      <c r="H42" s="1">
        <v>1</v>
      </c>
      <c r="I42" s="6">
        <v>1.7</v>
      </c>
      <c r="J42" s="6">
        <v>0</v>
      </c>
      <c r="K42" s="5">
        <v>0.04</v>
      </c>
      <c r="L42" s="24">
        <v>8500</v>
      </c>
      <c r="M42" s="31">
        <f t="shared" si="0"/>
        <v>169.96</v>
      </c>
      <c r="N42" s="7">
        <f t="shared" si="1"/>
        <v>4</v>
      </c>
      <c r="O42" s="8">
        <f>IF(J42="","",M42/L42)</f>
        <v>1.9995294117647059E-2</v>
      </c>
      <c r="P42" s="9">
        <f>IF(O42="","",(O42/(N42)*365))</f>
        <v>1.8245705882352941</v>
      </c>
      <c r="Q42" s="10"/>
    </row>
    <row r="43" spans="1:17" x14ac:dyDescent="0.15">
      <c r="A43" s="21" t="s">
        <v>23</v>
      </c>
      <c r="B43" s="20">
        <v>45714</v>
      </c>
      <c r="C43" s="42">
        <v>45730</v>
      </c>
      <c r="D43" s="20">
        <v>45722</v>
      </c>
      <c r="E43" s="20" t="s">
        <v>28</v>
      </c>
      <c r="F43" s="21" t="s">
        <v>25</v>
      </c>
      <c r="G43" s="48">
        <v>245</v>
      </c>
      <c r="H43" s="11">
        <v>1</v>
      </c>
      <c r="I43" s="15">
        <v>1.91</v>
      </c>
      <c r="J43" s="15">
        <v>5.05</v>
      </c>
      <c r="K43" s="14">
        <f>0.04+0.04</f>
        <v>0.08</v>
      </c>
      <c r="L43" s="22">
        <v>191</v>
      </c>
      <c r="M43" s="32">
        <f t="shared" si="0"/>
        <v>313.91999999999996</v>
      </c>
      <c r="N43" s="16">
        <f t="shared" si="1"/>
        <v>8</v>
      </c>
      <c r="O43" s="17">
        <f>IF(J43="","",M43/L43)</f>
        <v>1.6435602094240835</v>
      </c>
      <c r="P43" s="18">
        <f>IF(O43="","",(O43/(N43)*365))</f>
        <v>74.987434554973817</v>
      </c>
      <c r="Q43" s="19"/>
    </row>
    <row r="44" spans="1:17" x14ac:dyDescent="0.15">
      <c r="A44" s="23" t="s">
        <v>29</v>
      </c>
      <c r="B44" s="3">
        <v>45715</v>
      </c>
      <c r="C44" s="43">
        <v>45715</v>
      </c>
      <c r="D44" s="3">
        <v>45715</v>
      </c>
      <c r="E44" s="3" t="s">
        <v>51</v>
      </c>
      <c r="F44" s="23" t="s">
        <v>25</v>
      </c>
      <c r="G44" s="47">
        <v>510</v>
      </c>
      <c r="H44" s="1">
        <v>1</v>
      </c>
      <c r="I44" s="6">
        <v>0.5</v>
      </c>
      <c r="J44" s="6">
        <v>10.24</v>
      </c>
      <c r="K44" s="5">
        <v>0.08</v>
      </c>
      <c r="L44" s="24">
        <v>51000</v>
      </c>
      <c r="M44" s="31">
        <f t="shared" si="0"/>
        <v>-974.08</v>
      </c>
      <c r="N44" s="7" t="str">
        <f t="shared" si="1"/>
        <v>1</v>
      </c>
      <c r="O44" s="8">
        <f>IF(J44="","",M44/L44)</f>
        <v>-1.9099607843137256E-2</v>
      </c>
      <c r="P44" s="9">
        <f>IF(O44="","",(O44/(N44)*365))</f>
        <v>-6.9713568627450986</v>
      </c>
      <c r="Q44" s="10"/>
    </row>
    <row r="45" spans="1:17" x14ac:dyDescent="0.15">
      <c r="A45" s="21" t="s">
        <v>31</v>
      </c>
      <c r="B45" s="20">
        <v>45716</v>
      </c>
      <c r="C45" s="42">
        <v>45751</v>
      </c>
      <c r="D45" s="20">
        <v>45751</v>
      </c>
      <c r="E45" s="20" t="s">
        <v>38</v>
      </c>
      <c r="F45" s="21" t="s">
        <v>32</v>
      </c>
      <c r="G45" s="48">
        <v>85</v>
      </c>
      <c r="H45" s="11">
        <v>1</v>
      </c>
      <c r="I45" s="15">
        <v>85</v>
      </c>
      <c r="J45" s="15">
        <v>85</v>
      </c>
      <c r="K45" s="14">
        <v>0</v>
      </c>
      <c r="L45" s="22">
        <v>8500</v>
      </c>
      <c r="M45" s="32">
        <f t="shared" si="0"/>
        <v>0</v>
      </c>
      <c r="N45" s="16">
        <f t="shared" si="1"/>
        <v>35</v>
      </c>
      <c r="O45" s="17">
        <f>IF(J45="","",M45/L45)</f>
        <v>0</v>
      </c>
      <c r="P45" s="18">
        <f>IF(O45="","",(O45/(N45)*365))</f>
        <v>0</v>
      </c>
      <c r="Q45" s="19"/>
    </row>
    <row r="46" spans="1:17" ht="42" x14ac:dyDescent="0.15">
      <c r="A46" s="23" t="s">
        <v>29</v>
      </c>
      <c r="B46" s="3">
        <v>45719</v>
      </c>
      <c r="C46" s="43">
        <v>45772</v>
      </c>
      <c r="D46" s="3">
        <v>45772</v>
      </c>
      <c r="E46" s="3" t="s">
        <v>38</v>
      </c>
      <c r="F46" s="23" t="s">
        <v>27</v>
      </c>
      <c r="G46" s="47">
        <v>85</v>
      </c>
      <c r="H46" s="1">
        <v>1</v>
      </c>
      <c r="I46" s="6">
        <f>3.45+2.09+3+3.12+4.13</f>
        <v>15.79</v>
      </c>
      <c r="J46" s="6">
        <v>0</v>
      </c>
      <c r="K46" s="5">
        <f>0.04+0.08+0.08+0.08+0.08</f>
        <v>0.36000000000000004</v>
      </c>
      <c r="L46" s="24">
        <v>8500</v>
      </c>
      <c r="M46" s="31">
        <f t="shared" si="0"/>
        <v>1578.6399999999999</v>
      </c>
      <c r="N46" s="7">
        <f t="shared" si="1"/>
        <v>53</v>
      </c>
      <c r="O46" s="8">
        <f>IF(J46="","",M46/L46)</f>
        <v>0.18572235294117645</v>
      </c>
      <c r="P46" s="9">
        <f>IF(O46="","",(O46/(N46)*365))</f>
        <v>1.2790312985571586</v>
      </c>
      <c r="Q46" s="10" t="s">
        <v>56</v>
      </c>
    </row>
    <row r="47" spans="1:17" x14ac:dyDescent="0.15">
      <c r="A47" s="21" t="s">
        <v>29</v>
      </c>
      <c r="B47" s="20">
        <v>45723</v>
      </c>
      <c r="C47" s="42">
        <v>45723</v>
      </c>
      <c r="D47" s="20">
        <v>45723</v>
      </c>
      <c r="E47" s="20" t="s">
        <v>51</v>
      </c>
      <c r="F47" s="21" t="s">
        <v>25</v>
      </c>
      <c r="G47" s="48">
        <v>480</v>
      </c>
      <c r="H47" s="11">
        <v>1</v>
      </c>
      <c r="I47" s="15">
        <v>1.1399999999999999</v>
      </c>
      <c r="J47" s="15">
        <v>0</v>
      </c>
      <c r="K47" s="14">
        <f>0.04</f>
        <v>0.04</v>
      </c>
      <c r="L47" s="22">
        <v>48000</v>
      </c>
      <c r="M47" s="32">
        <f t="shared" si="0"/>
        <v>113.96</v>
      </c>
      <c r="N47" s="16" t="str">
        <f t="shared" si="1"/>
        <v>1</v>
      </c>
      <c r="O47" s="17">
        <f>IF(J47="","",M47/L47)</f>
        <v>2.3741666666666664E-3</v>
      </c>
      <c r="P47" s="18">
        <f>IF(O47="","",(O47/(N47)*365))</f>
        <v>0.86657083333333318</v>
      </c>
      <c r="Q47" s="19"/>
    </row>
    <row r="48" spans="1:17" x14ac:dyDescent="0.15">
      <c r="A48" s="23" t="s">
        <v>29</v>
      </c>
      <c r="B48" s="3">
        <v>45723</v>
      </c>
      <c r="C48" s="43">
        <v>45730</v>
      </c>
      <c r="D48" s="3">
        <v>45727</v>
      </c>
      <c r="E48" s="3" t="s">
        <v>28</v>
      </c>
      <c r="F48" s="23" t="s">
        <v>25</v>
      </c>
      <c r="G48" s="47">
        <v>227.5</v>
      </c>
      <c r="H48" s="1">
        <v>1</v>
      </c>
      <c r="I48" s="6">
        <v>2.71</v>
      </c>
      <c r="J48" s="6">
        <v>9.65</v>
      </c>
      <c r="K48" s="5">
        <f>0.04</f>
        <v>0.04</v>
      </c>
      <c r="L48" s="24">
        <v>22750</v>
      </c>
      <c r="M48" s="31">
        <f t="shared" si="0"/>
        <v>-694.04000000000008</v>
      </c>
      <c r="N48" s="7">
        <f t="shared" si="1"/>
        <v>4</v>
      </c>
      <c r="O48" s="8">
        <f>IF(J48="","",M48/L48)</f>
        <v>-3.0507252747252751E-2</v>
      </c>
      <c r="P48" s="9">
        <f>IF(O48="","",(O48/(N48)*365))</f>
        <v>-2.7837868131868135</v>
      </c>
      <c r="Q48" s="10"/>
    </row>
    <row r="49" spans="1:17" x14ac:dyDescent="0.15">
      <c r="A49" s="21" t="s">
        <v>23</v>
      </c>
      <c r="B49" s="20">
        <v>45726</v>
      </c>
      <c r="C49" s="42">
        <v>45744</v>
      </c>
      <c r="D49" s="20">
        <v>45737</v>
      </c>
      <c r="E49" s="20" t="s">
        <v>28</v>
      </c>
      <c r="F49" s="21" t="s">
        <v>25</v>
      </c>
      <c r="G49" s="22">
        <v>180</v>
      </c>
      <c r="H49" s="11">
        <v>2</v>
      </c>
      <c r="I49" s="15">
        <v>2.5299999999999998</v>
      </c>
      <c r="J49" s="15">
        <v>0.2</v>
      </c>
      <c r="K49" s="14">
        <v>0.08</v>
      </c>
      <c r="L49" s="22">
        <v>506</v>
      </c>
      <c r="M49" s="32">
        <f t="shared" si="0"/>
        <v>-466.15999999999991</v>
      </c>
      <c r="N49" s="16">
        <f t="shared" si="1"/>
        <v>11</v>
      </c>
      <c r="O49" s="17">
        <f>IF(J49="","",M49/L49)</f>
        <v>-0.92126482213438721</v>
      </c>
      <c r="P49" s="18">
        <f>IF(O49="","",(O49/(N49)*365))</f>
        <v>-30.569241825368305</v>
      </c>
      <c r="Q49" s="19"/>
    </row>
    <row r="50" spans="1:17" x14ac:dyDescent="0.15">
      <c r="A50" s="23" t="s">
        <v>23</v>
      </c>
      <c r="B50" s="3">
        <v>45726</v>
      </c>
      <c r="C50" s="43">
        <v>45744</v>
      </c>
      <c r="D50" s="3">
        <v>45737</v>
      </c>
      <c r="E50" s="3" t="s">
        <v>24</v>
      </c>
      <c r="F50" s="23" t="s">
        <v>25</v>
      </c>
      <c r="G50" s="24">
        <v>90</v>
      </c>
      <c r="H50" s="1">
        <v>2</v>
      </c>
      <c r="I50" s="6">
        <v>1.45</v>
      </c>
      <c r="J50" s="6">
        <v>0.04</v>
      </c>
      <c r="K50" s="5">
        <v>0.08</v>
      </c>
      <c r="L50" s="24">
        <v>390</v>
      </c>
      <c r="M50" s="31">
        <f t="shared" si="0"/>
        <v>-282.15999999999997</v>
      </c>
      <c r="N50" s="7">
        <f t="shared" si="1"/>
        <v>11</v>
      </c>
      <c r="O50" s="8">
        <f>IF(J50="","",M50/L50)</f>
        <v>-0.72348717948717944</v>
      </c>
      <c r="P50" s="9">
        <f>IF(O50="","",(O50/(N50)*365))</f>
        <v>-24.006620046620043</v>
      </c>
      <c r="Q50" s="10"/>
    </row>
    <row r="51" spans="1:17" x14ac:dyDescent="0.15">
      <c r="A51" s="21" t="s">
        <v>29</v>
      </c>
      <c r="B51" s="20">
        <v>45727</v>
      </c>
      <c r="C51" s="42">
        <v>45744</v>
      </c>
      <c r="D51" s="20">
        <v>45744</v>
      </c>
      <c r="E51" s="20" t="s">
        <v>35</v>
      </c>
      <c r="F51" s="21" t="s">
        <v>27</v>
      </c>
      <c r="G51" s="22">
        <v>180</v>
      </c>
      <c r="H51" s="11">
        <v>1</v>
      </c>
      <c r="I51" s="15">
        <v>0.8</v>
      </c>
      <c r="J51" s="15">
        <v>0</v>
      </c>
      <c r="K51" s="14">
        <v>0.04</v>
      </c>
      <c r="L51" s="22">
        <v>1</v>
      </c>
      <c r="M51" s="32">
        <f t="shared" si="0"/>
        <v>79.960000000000008</v>
      </c>
      <c r="N51" s="16">
        <f t="shared" si="1"/>
        <v>17</v>
      </c>
      <c r="O51" s="17">
        <f>IF(J51="","",M51/L51)</f>
        <v>79.960000000000008</v>
      </c>
      <c r="P51" s="18">
        <f>IF(O51="","",(O51/(N51)*365))</f>
        <v>1716.7882352941178</v>
      </c>
      <c r="Q51" s="19"/>
    </row>
    <row r="52" spans="1:17" x14ac:dyDescent="0.15">
      <c r="A52" s="23" t="s">
        <v>29</v>
      </c>
      <c r="B52" s="3">
        <v>45730</v>
      </c>
      <c r="C52" s="43">
        <v>45730</v>
      </c>
      <c r="D52" s="3">
        <v>45730</v>
      </c>
      <c r="E52" s="3" t="s">
        <v>51</v>
      </c>
      <c r="F52" s="23" t="s">
        <v>25</v>
      </c>
      <c r="G52" s="24">
        <v>478</v>
      </c>
      <c r="H52" s="1">
        <v>1</v>
      </c>
      <c r="I52" s="6">
        <v>0.51</v>
      </c>
      <c r="J52" s="6">
        <v>0</v>
      </c>
      <c r="K52" s="5">
        <v>0.04</v>
      </c>
      <c r="L52" s="24">
        <v>47800</v>
      </c>
      <c r="M52" s="31">
        <f t="shared" si="0"/>
        <v>50.960000000000008</v>
      </c>
      <c r="N52" s="7" t="str">
        <f t="shared" si="1"/>
        <v>1</v>
      </c>
      <c r="O52" s="8">
        <f>IF(J52="","",M52/L52)</f>
        <v>1.0661087866108787E-3</v>
      </c>
      <c r="P52" s="9">
        <f>IF(O52="","",(O52/(N52)*365))</f>
        <v>0.38912970711297074</v>
      </c>
      <c r="Q52" s="10"/>
    </row>
    <row r="53" spans="1:17" x14ac:dyDescent="0.15">
      <c r="A53" s="21" t="s">
        <v>29</v>
      </c>
      <c r="B53" s="20">
        <v>45730</v>
      </c>
      <c r="C53" s="42">
        <v>45737</v>
      </c>
      <c r="D53" s="20">
        <v>45737</v>
      </c>
      <c r="E53" s="20" t="s">
        <v>57</v>
      </c>
      <c r="F53" s="21" t="s">
        <v>25</v>
      </c>
      <c r="G53" s="22">
        <v>67</v>
      </c>
      <c r="H53" s="11">
        <v>1</v>
      </c>
      <c r="I53" s="15">
        <v>1.4</v>
      </c>
      <c r="J53" s="15">
        <v>1.36</v>
      </c>
      <c r="K53" s="14">
        <v>0.04</v>
      </c>
      <c r="L53" s="22">
        <v>6700</v>
      </c>
      <c r="M53" s="32">
        <f t="shared" si="0"/>
        <v>3.9599999999999818</v>
      </c>
      <c r="N53" s="16">
        <f t="shared" si="1"/>
        <v>7</v>
      </c>
      <c r="O53" s="17">
        <f>IF(J53="","",M53/L53)</f>
        <v>5.9104477611940029E-4</v>
      </c>
      <c r="P53" s="18">
        <f>IF(O53="","",(O53/(N53)*365))</f>
        <v>3.0818763326225875E-2</v>
      </c>
      <c r="Q53" s="19"/>
    </row>
    <row r="54" spans="1:17" x14ac:dyDescent="0.15">
      <c r="A54" s="23" t="s">
        <v>29</v>
      </c>
      <c r="B54" s="3">
        <v>45737</v>
      </c>
      <c r="C54" s="43">
        <v>45744</v>
      </c>
      <c r="D54" s="3">
        <v>45737</v>
      </c>
      <c r="E54" s="3" t="s">
        <v>38</v>
      </c>
      <c r="F54" s="23" t="s">
        <v>25</v>
      </c>
      <c r="G54" s="24">
        <v>85</v>
      </c>
      <c r="H54" s="1">
        <v>1</v>
      </c>
      <c r="I54" s="6">
        <v>2</v>
      </c>
      <c r="J54" s="6">
        <v>1.65</v>
      </c>
      <c r="K54" s="5">
        <v>0.08</v>
      </c>
      <c r="L54" s="24">
        <v>8500</v>
      </c>
      <c r="M54" s="31">
        <f t="shared" si="0"/>
        <v>34.920000000000009</v>
      </c>
      <c r="N54" s="7" t="str">
        <f t="shared" si="1"/>
        <v>1</v>
      </c>
      <c r="O54" s="8">
        <f>IF(J54="","",M54/L54)</f>
        <v>4.1082352941176478E-3</v>
      </c>
      <c r="P54" s="9">
        <f>IF(O54="","",(O54/(N54)*365))</f>
        <v>1.4995058823529415</v>
      </c>
      <c r="Q54" s="10"/>
    </row>
    <row r="55" spans="1:17" ht="56" x14ac:dyDescent="0.15">
      <c r="A55" s="21" t="s">
        <v>29</v>
      </c>
      <c r="B55" s="20">
        <v>45747</v>
      </c>
      <c r="C55" s="42">
        <v>45919</v>
      </c>
      <c r="D55" s="20">
        <v>45856</v>
      </c>
      <c r="E55" s="20" t="s">
        <v>26</v>
      </c>
      <c r="F55" s="21" t="s">
        <v>27</v>
      </c>
      <c r="G55" s="22">
        <v>195</v>
      </c>
      <c r="H55" s="11">
        <v>1</v>
      </c>
      <c r="I55" s="15">
        <f>1.69+1.69-0.05+0.52-1.9-7.5</f>
        <v>-5.55</v>
      </c>
      <c r="J55" s="15">
        <v>90</v>
      </c>
      <c r="K55" s="14">
        <v>0.52</v>
      </c>
      <c r="L55" s="22">
        <v>19500</v>
      </c>
      <c r="M55" s="32">
        <f t="shared" si="0"/>
        <v>-9555.52</v>
      </c>
      <c r="N55" s="16">
        <f t="shared" si="1"/>
        <v>109</v>
      </c>
      <c r="O55" s="17">
        <f>IF(J55="","",M55/L55)</f>
        <v>-0.49002666666666667</v>
      </c>
      <c r="P55" s="18">
        <f>IF(O55="","",(O55/(N55)*365))</f>
        <v>-1.6409149847094802</v>
      </c>
      <c r="Q55" s="19" t="s">
        <v>58</v>
      </c>
    </row>
    <row r="56" spans="1:17" x14ac:dyDescent="0.15">
      <c r="A56" s="23" t="s">
        <v>29</v>
      </c>
      <c r="B56" s="3">
        <v>45747</v>
      </c>
      <c r="C56" s="43">
        <v>45772</v>
      </c>
      <c r="D56" s="3">
        <v>45772</v>
      </c>
      <c r="E56" s="3" t="s">
        <v>35</v>
      </c>
      <c r="F56" s="23" t="s">
        <v>27</v>
      </c>
      <c r="G56" s="24">
        <v>165</v>
      </c>
      <c r="H56" s="1">
        <v>1</v>
      </c>
      <c r="I56" s="6">
        <v>1.51</v>
      </c>
      <c r="J56" s="6">
        <v>0</v>
      </c>
      <c r="K56" s="5">
        <f>0.04</f>
        <v>0.04</v>
      </c>
      <c r="L56" s="24">
        <v>1</v>
      </c>
      <c r="M56" s="31">
        <f t="shared" si="0"/>
        <v>150.96</v>
      </c>
      <c r="N56" s="7">
        <f t="shared" si="1"/>
        <v>25</v>
      </c>
      <c r="O56" s="8">
        <f>IF(J56="","",M56/L56)</f>
        <v>150.96</v>
      </c>
      <c r="P56" s="9">
        <f>IF(O56="","",(O56/(N56)*365))</f>
        <v>2204.0160000000001</v>
      </c>
      <c r="Q56" s="10"/>
    </row>
    <row r="57" spans="1:17" x14ac:dyDescent="0.15">
      <c r="A57" s="21" t="s">
        <v>29</v>
      </c>
      <c r="B57" s="20">
        <v>45751</v>
      </c>
      <c r="C57" s="42">
        <v>45758</v>
      </c>
      <c r="D57" s="20">
        <v>45754</v>
      </c>
      <c r="E57" s="20" t="s">
        <v>59</v>
      </c>
      <c r="F57" s="21" t="s">
        <v>25</v>
      </c>
      <c r="G57" s="22">
        <v>30</v>
      </c>
      <c r="H57" s="11">
        <v>1</v>
      </c>
      <c r="I57" s="15">
        <v>1.74</v>
      </c>
      <c r="J57" s="15">
        <v>1.35</v>
      </c>
      <c r="K57" s="14">
        <v>0.08</v>
      </c>
      <c r="L57" s="22">
        <v>3000</v>
      </c>
      <c r="M57" s="32">
        <f t="shared" si="0"/>
        <v>38.919999999999987</v>
      </c>
      <c r="N57" s="16">
        <f t="shared" si="1"/>
        <v>3</v>
      </c>
      <c r="O57" s="17">
        <f>IF(J57="","",M57/L57)</f>
        <v>1.297333333333333E-2</v>
      </c>
      <c r="P57" s="18">
        <f>IF(O57="","",(O57/(N57)*365))</f>
        <v>1.5784222222222217</v>
      </c>
      <c r="Q57" s="19"/>
    </row>
    <row r="58" spans="1:17" x14ac:dyDescent="0.15">
      <c r="A58" s="23" t="s">
        <v>29</v>
      </c>
      <c r="B58" s="3">
        <v>45751</v>
      </c>
      <c r="C58" s="43">
        <v>45758</v>
      </c>
      <c r="D58" s="3">
        <v>45758</v>
      </c>
      <c r="E58" s="3" t="s">
        <v>60</v>
      </c>
      <c r="F58" s="23" t="s">
        <v>25</v>
      </c>
      <c r="G58" s="24">
        <v>60</v>
      </c>
      <c r="H58" s="1">
        <v>1</v>
      </c>
      <c r="I58" s="6">
        <v>1.22</v>
      </c>
      <c r="J58" s="6">
        <v>1.68</v>
      </c>
      <c r="K58" s="5">
        <f>0.04</f>
        <v>0.04</v>
      </c>
      <c r="L58" s="24">
        <v>6000</v>
      </c>
      <c r="M58" s="31">
        <f t="shared" si="0"/>
        <v>-46.04</v>
      </c>
      <c r="N58" s="7">
        <f t="shared" si="1"/>
        <v>7</v>
      </c>
      <c r="O58" s="8">
        <f>IF(J58="","",M58/L58)</f>
        <v>-7.6733333333333332E-3</v>
      </c>
      <c r="P58" s="9">
        <f>IF(O58="","",(O58/(N58)*365))</f>
        <v>-0.40010952380952375</v>
      </c>
      <c r="Q58" s="10"/>
    </row>
    <row r="59" spans="1:17" x14ac:dyDescent="0.15">
      <c r="A59" s="21" t="s">
        <v>29</v>
      </c>
      <c r="B59" s="20">
        <v>45751</v>
      </c>
      <c r="C59" s="42">
        <v>45758</v>
      </c>
      <c r="D59" s="20">
        <v>45758</v>
      </c>
      <c r="E59" s="20" t="s">
        <v>61</v>
      </c>
      <c r="F59" s="21" t="s">
        <v>25</v>
      </c>
      <c r="G59" s="22">
        <v>60</v>
      </c>
      <c r="H59" s="11">
        <v>1</v>
      </c>
      <c r="I59" s="15">
        <v>1.53</v>
      </c>
      <c r="J59" s="15">
        <v>1.19</v>
      </c>
      <c r="K59" s="14">
        <v>0.08</v>
      </c>
      <c r="L59" s="22">
        <v>6000</v>
      </c>
      <c r="M59" s="32">
        <f t="shared" si="0"/>
        <v>33.920000000000009</v>
      </c>
      <c r="N59" s="16">
        <f t="shared" si="1"/>
        <v>7</v>
      </c>
      <c r="O59" s="17">
        <f>IF(J59="","",M59/L59)</f>
        <v>5.6533333333333349E-3</v>
      </c>
      <c r="P59" s="18">
        <f>IF(O59="","",(O59/(N59)*365))</f>
        <v>0.29478095238095242</v>
      </c>
      <c r="Q59" s="19"/>
    </row>
    <row r="60" spans="1:17" x14ac:dyDescent="0.15">
      <c r="A60" s="23" t="s">
        <v>23</v>
      </c>
      <c r="B60" s="3">
        <v>45754</v>
      </c>
      <c r="C60" s="43">
        <v>46101</v>
      </c>
      <c r="D60" s="3">
        <v>45758</v>
      </c>
      <c r="E60" s="3" t="s">
        <v>51</v>
      </c>
      <c r="F60" s="23" t="s">
        <v>27</v>
      </c>
      <c r="G60" s="24">
        <v>340</v>
      </c>
      <c r="H60" s="1">
        <v>1</v>
      </c>
      <c r="I60" s="6">
        <v>96.53</v>
      </c>
      <c r="J60" s="6">
        <v>136</v>
      </c>
      <c r="K60" s="5">
        <v>0.08</v>
      </c>
      <c r="L60" s="24">
        <v>9653</v>
      </c>
      <c r="M60" s="31">
        <f t="shared" si="0"/>
        <v>3946.92</v>
      </c>
      <c r="N60" s="7">
        <f t="shared" si="1"/>
        <v>4</v>
      </c>
      <c r="O60" s="8">
        <f>IF(J60="","",M60/L60)</f>
        <v>0.40888014088884284</v>
      </c>
      <c r="P60" s="9">
        <f>IF(O60="","",(O60/(N60)*365))</f>
        <v>37.310312856106911</v>
      </c>
      <c r="Q60" s="10"/>
    </row>
    <row r="61" spans="1:17" x14ac:dyDescent="0.15">
      <c r="A61" s="21" t="s">
        <v>29</v>
      </c>
      <c r="B61" s="20">
        <v>45754</v>
      </c>
      <c r="C61" s="42">
        <v>45758</v>
      </c>
      <c r="D61" s="3">
        <v>45758</v>
      </c>
      <c r="E61" s="20" t="s">
        <v>51</v>
      </c>
      <c r="F61" s="21" t="s">
        <v>27</v>
      </c>
      <c r="G61" s="22">
        <v>430</v>
      </c>
      <c r="H61" s="11">
        <v>1</v>
      </c>
      <c r="I61" s="15">
        <v>5.0999999999999996</v>
      </c>
      <c r="J61" s="15">
        <v>23.1</v>
      </c>
      <c r="K61" s="14">
        <v>0.08</v>
      </c>
      <c r="L61" s="22">
        <v>9653</v>
      </c>
      <c r="M61" s="32">
        <f t="shared" si="0"/>
        <v>-1800.0800000000002</v>
      </c>
      <c r="N61" s="16">
        <f t="shared" si="1"/>
        <v>4</v>
      </c>
      <c r="O61" s="17">
        <f>IF(J61="","",M61/L61)</f>
        <v>-0.1864788148762043</v>
      </c>
      <c r="P61" s="18">
        <f>IF(O61="","",(O61/(N61)*365))</f>
        <v>-17.016191857453641</v>
      </c>
      <c r="Q61" s="19"/>
    </row>
    <row r="62" spans="1:17" x14ac:dyDescent="0.15">
      <c r="A62" s="23" t="s">
        <v>29</v>
      </c>
      <c r="B62" s="3">
        <v>45772</v>
      </c>
      <c r="C62" s="43">
        <v>45779</v>
      </c>
      <c r="D62" s="3">
        <v>45772</v>
      </c>
      <c r="E62" s="3" t="s">
        <v>38</v>
      </c>
      <c r="F62" s="23" t="s">
        <v>25</v>
      </c>
      <c r="G62" s="24">
        <v>101</v>
      </c>
      <c r="H62" s="1">
        <v>1</v>
      </c>
      <c r="I62" s="6">
        <v>0.92</v>
      </c>
      <c r="J62" s="6">
        <v>0.89</v>
      </c>
      <c r="K62" s="5">
        <v>0.08</v>
      </c>
      <c r="L62" s="24">
        <v>10100</v>
      </c>
      <c r="M62" s="31">
        <f t="shared" si="0"/>
        <v>2.9200000000000026</v>
      </c>
      <c r="N62" s="7" t="str">
        <f t="shared" si="1"/>
        <v>1</v>
      </c>
      <c r="O62" s="8">
        <f>IF(J62="","",M62/L62)</f>
        <v>2.8910891089108939E-4</v>
      </c>
      <c r="P62" s="9">
        <f>IF(O62="","",(O62/(N62)*365))</f>
        <v>0.10552475247524763</v>
      </c>
      <c r="Q62" s="10"/>
    </row>
    <row r="63" spans="1:17" x14ac:dyDescent="0.15">
      <c r="A63" s="21" t="s">
        <v>23</v>
      </c>
      <c r="B63" s="20">
        <v>45769</v>
      </c>
      <c r="C63" s="42">
        <v>45793</v>
      </c>
      <c r="D63" s="20">
        <v>45769</v>
      </c>
      <c r="E63" s="20" t="s">
        <v>24</v>
      </c>
      <c r="F63" s="21" t="s">
        <v>27</v>
      </c>
      <c r="G63" s="22">
        <v>114</v>
      </c>
      <c r="H63" s="11">
        <v>1</v>
      </c>
      <c r="I63" s="15">
        <v>0.99</v>
      </c>
      <c r="J63" s="15">
        <v>0.97</v>
      </c>
      <c r="K63" s="14">
        <v>0.08</v>
      </c>
      <c r="L63" s="22">
        <v>1</v>
      </c>
      <c r="M63" s="32">
        <f t="shared" si="0"/>
        <v>-2.0800000000000018</v>
      </c>
      <c r="N63" s="16" t="str">
        <f t="shared" si="1"/>
        <v>1</v>
      </c>
      <c r="O63" s="17">
        <f>IF(J63="","",M63/L63)</f>
        <v>-2.0800000000000018</v>
      </c>
      <c r="P63" s="18">
        <f>IF(O63="","",(O63/(N63)*365))</f>
        <v>-759.20000000000073</v>
      </c>
      <c r="Q63" s="19"/>
    </row>
    <row r="64" spans="1:17" ht="28" x14ac:dyDescent="0.15">
      <c r="A64" s="23" t="s">
        <v>29</v>
      </c>
      <c r="B64" s="3">
        <v>45769</v>
      </c>
      <c r="C64" s="43">
        <v>45856</v>
      </c>
      <c r="D64" s="3">
        <v>45817</v>
      </c>
      <c r="E64" s="3" t="s">
        <v>24</v>
      </c>
      <c r="F64" s="23" t="s">
        <v>27</v>
      </c>
      <c r="G64" s="24">
        <v>125</v>
      </c>
      <c r="H64" s="1">
        <v>1</v>
      </c>
      <c r="I64" s="6">
        <f>1.02+0.9+0.5</f>
        <v>2.42</v>
      </c>
      <c r="J64" s="6">
        <v>20</v>
      </c>
      <c r="K64" s="5">
        <f>0.04+0.08+0.08+0.04</f>
        <v>0.24000000000000002</v>
      </c>
      <c r="L64" s="24">
        <v>1</v>
      </c>
      <c r="M64" s="31">
        <f t="shared" si="0"/>
        <v>-1758.24</v>
      </c>
      <c r="N64" s="7">
        <f t="shared" si="1"/>
        <v>48</v>
      </c>
      <c r="O64" s="8">
        <f>IF(J64="","",M64/L64)</f>
        <v>-1758.24</v>
      </c>
      <c r="P64" s="9">
        <f>IF(O64="","",(O64/(N64)*365))</f>
        <v>-13369.95</v>
      </c>
      <c r="Q64" s="10" t="s">
        <v>62</v>
      </c>
    </row>
    <row r="65" spans="1:17" x14ac:dyDescent="0.15">
      <c r="A65" s="21" t="s">
        <v>29</v>
      </c>
      <c r="B65" s="20">
        <v>45776</v>
      </c>
      <c r="C65" s="42">
        <v>45793</v>
      </c>
      <c r="D65" s="20">
        <v>45793</v>
      </c>
      <c r="E65" s="20" t="s">
        <v>35</v>
      </c>
      <c r="F65" s="21" t="s">
        <v>27</v>
      </c>
      <c r="G65" s="22">
        <v>170</v>
      </c>
      <c r="H65" s="11">
        <v>1</v>
      </c>
      <c r="I65" s="15">
        <v>1.1000000000000001</v>
      </c>
      <c r="J65" s="15">
        <v>0</v>
      </c>
      <c r="K65" s="14">
        <v>0.04</v>
      </c>
      <c r="L65" s="22">
        <v>1</v>
      </c>
      <c r="M65" s="32">
        <f t="shared" si="0"/>
        <v>109.96000000000001</v>
      </c>
      <c r="N65" s="16">
        <f t="shared" si="1"/>
        <v>17</v>
      </c>
      <c r="O65" s="17">
        <f>IF(J65="","",M65/L65)</f>
        <v>109.96000000000001</v>
      </c>
      <c r="P65" s="18">
        <f>IF(O65="","",(O65/(N65)*365))</f>
        <v>2360.9058823529413</v>
      </c>
      <c r="Q65" s="19"/>
    </row>
    <row r="66" spans="1:17" x14ac:dyDescent="0.15">
      <c r="A66" s="23" t="s">
        <v>23</v>
      </c>
      <c r="B66" s="3">
        <v>45779</v>
      </c>
      <c r="C66" s="43">
        <v>46191</v>
      </c>
      <c r="D66" s="3">
        <v>45779</v>
      </c>
      <c r="E66" s="3" t="s">
        <v>61</v>
      </c>
      <c r="F66" s="23" t="s">
        <v>27</v>
      </c>
      <c r="G66" s="24">
        <v>55</v>
      </c>
      <c r="H66" s="1">
        <v>1</v>
      </c>
      <c r="I66" s="6">
        <v>50</v>
      </c>
      <c r="J66" s="6">
        <v>50.75</v>
      </c>
      <c r="K66" s="5">
        <v>0.08</v>
      </c>
      <c r="L66" s="24">
        <v>5000</v>
      </c>
      <c r="M66" s="31">
        <f t="shared" si="0"/>
        <v>74.92</v>
      </c>
      <c r="N66" s="7" t="str">
        <f t="shared" si="1"/>
        <v>1</v>
      </c>
      <c r="O66" s="8">
        <f>IF(J66="","",M66/L66)</f>
        <v>1.4984000000000001E-2</v>
      </c>
      <c r="P66" s="9">
        <f>IF(O66="","",(O66/(N66)*365))</f>
        <v>5.4691600000000005</v>
      </c>
      <c r="Q66" s="10"/>
    </row>
    <row r="67" spans="1:17" x14ac:dyDescent="0.15">
      <c r="A67" s="21" t="s">
        <v>23</v>
      </c>
      <c r="B67" s="20">
        <v>45779</v>
      </c>
      <c r="C67" s="42">
        <v>45786</v>
      </c>
      <c r="D67" s="20">
        <v>45779</v>
      </c>
      <c r="E67" s="20" t="s">
        <v>61</v>
      </c>
      <c r="F67" s="21" t="s">
        <v>27</v>
      </c>
      <c r="G67" s="22">
        <v>110</v>
      </c>
      <c r="H67" s="11">
        <v>1</v>
      </c>
      <c r="I67" s="15">
        <v>1.75</v>
      </c>
      <c r="J67" s="15">
        <v>1.75</v>
      </c>
      <c r="K67" s="14">
        <v>0.08</v>
      </c>
      <c r="L67" s="22">
        <v>175</v>
      </c>
      <c r="M67" s="32">
        <f t="shared" si="0"/>
        <v>-0.08</v>
      </c>
      <c r="N67" s="16" t="str">
        <f t="shared" si="1"/>
        <v>1</v>
      </c>
      <c r="O67" s="17">
        <f>IF(J67="","",M67/L67)</f>
        <v>-4.5714285714285713E-4</v>
      </c>
      <c r="P67" s="18">
        <f>IF(O67="","",(O67/(N67)*365))</f>
        <v>-0.16685714285714284</v>
      </c>
      <c r="Q67" s="19"/>
    </row>
    <row r="68" spans="1:17" x14ac:dyDescent="0.15">
      <c r="A68" s="23" t="s">
        <v>29</v>
      </c>
      <c r="B68" s="3">
        <v>45779</v>
      </c>
      <c r="C68" s="43">
        <v>45786</v>
      </c>
      <c r="D68" s="3">
        <v>45779</v>
      </c>
      <c r="E68" s="3" t="s">
        <v>61</v>
      </c>
      <c r="F68" s="23" t="s">
        <v>27</v>
      </c>
      <c r="G68" s="24">
        <v>110</v>
      </c>
      <c r="H68" s="1">
        <v>1</v>
      </c>
      <c r="I68" s="6">
        <v>2</v>
      </c>
      <c r="J68" s="6">
        <v>1.94</v>
      </c>
      <c r="K68" s="5">
        <v>0.08</v>
      </c>
      <c r="L68" s="24">
        <v>200</v>
      </c>
      <c r="M68" s="31">
        <f t="shared" si="0"/>
        <v>5.9200000000000053</v>
      </c>
      <c r="N68" s="7" t="str">
        <f t="shared" si="1"/>
        <v>1</v>
      </c>
      <c r="O68" s="8">
        <f>IF(J68="","",M68/L68)</f>
        <v>2.9600000000000026E-2</v>
      </c>
      <c r="P68" s="9">
        <f>IF(O68="","",(O68/(N68)*365))</f>
        <v>10.804000000000009</v>
      </c>
      <c r="Q68" s="10"/>
    </row>
    <row r="69" spans="1:17" ht="14" x14ac:dyDescent="0.15">
      <c r="A69" s="21" t="s">
        <v>29</v>
      </c>
      <c r="B69" s="20">
        <v>45782</v>
      </c>
      <c r="C69" s="42">
        <v>45828</v>
      </c>
      <c r="D69" s="20">
        <v>45784</v>
      </c>
      <c r="E69" s="20" t="s">
        <v>59</v>
      </c>
      <c r="F69" s="21" t="s">
        <v>25</v>
      </c>
      <c r="G69" s="22">
        <v>49</v>
      </c>
      <c r="H69" s="11">
        <v>2</v>
      </c>
      <c r="I69" s="15">
        <v>4.95</v>
      </c>
      <c r="J69" s="15">
        <v>4.29</v>
      </c>
      <c r="K69" s="14">
        <v>0.08</v>
      </c>
      <c r="L69" s="22">
        <v>130</v>
      </c>
      <c r="M69" s="32">
        <f t="shared" si="0"/>
        <v>131.84000000000003</v>
      </c>
      <c r="N69" s="16">
        <f t="shared" si="1"/>
        <v>2</v>
      </c>
      <c r="O69" s="17">
        <f>IF(J69="","",M69/L69)</f>
        <v>1.0141538461538464</v>
      </c>
      <c r="P69" s="18">
        <f>IF(O69="","",(O69/(N69)*365))</f>
        <v>185.08307692307696</v>
      </c>
      <c r="Q69" s="19" t="s">
        <v>63</v>
      </c>
    </row>
    <row r="70" spans="1:17" x14ac:dyDescent="0.15">
      <c r="A70" s="23" t="s">
        <v>23</v>
      </c>
      <c r="B70" s="3">
        <v>45782</v>
      </c>
      <c r="C70" s="43">
        <v>45828</v>
      </c>
      <c r="D70" s="3">
        <v>45784</v>
      </c>
      <c r="E70" s="3" t="s">
        <v>59</v>
      </c>
      <c r="F70" s="23" t="s">
        <v>27</v>
      </c>
      <c r="G70" s="24">
        <v>49</v>
      </c>
      <c r="H70" s="1">
        <v>2</v>
      </c>
      <c r="I70" s="6">
        <v>4.3</v>
      </c>
      <c r="J70" s="6">
        <v>4.88</v>
      </c>
      <c r="K70" s="5">
        <v>0.08</v>
      </c>
      <c r="L70" s="24">
        <v>130</v>
      </c>
      <c r="M70" s="31">
        <f t="shared" si="0"/>
        <v>115.84</v>
      </c>
      <c r="N70" s="7">
        <f t="shared" si="1"/>
        <v>2</v>
      </c>
      <c r="O70" s="8">
        <f>IF(J70="","",M70/L70)</f>
        <v>0.8910769230769231</v>
      </c>
      <c r="P70" s="9">
        <f>IF(O70="","",(O70/(N70)*365))</f>
        <v>162.62153846153848</v>
      </c>
      <c r="Q70" s="10"/>
    </row>
    <row r="71" spans="1:17" x14ac:dyDescent="0.15">
      <c r="A71" s="21" t="s">
        <v>29</v>
      </c>
      <c r="B71" s="20">
        <v>45782</v>
      </c>
      <c r="C71" s="42">
        <v>45814</v>
      </c>
      <c r="D71" s="20">
        <v>45814</v>
      </c>
      <c r="E71" s="20" t="s">
        <v>26</v>
      </c>
      <c r="F71" s="21" t="s">
        <v>25</v>
      </c>
      <c r="G71" s="22">
        <v>175</v>
      </c>
      <c r="H71" s="11">
        <v>1</v>
      </c>
      <c r="I71" s="15">
        <v>3.5</v>
      </c>
      <c r="J71" s="15">
        <v>0.02</v>
      </c>
      <c r="K71" s="14">
        <v>0.04</v>
      </c>
      <c r="L71" s="22">
        <v>17500</v>
      </c>
      <c r="M71" s="32">
        <f t="shared" si="0"/>
        <v>347.96</v>
      </c>
      <c r="N71" s="16">
        <f t="shared" si="1"/>
        <v>32</v>
      </c>
      <c r="O71" s="17">
        <f>IF(J71="","",M71/L71)</f>
        <v>1.9883428571428569E-2</v>
      </c>
      <c r="P71" s="18">
        <f>IF(O71="","",(O71/(N71)*365))</f>
        <v>0.22679535714285712</v>
      </c>
      <c r="Q71" s="19"/>
    </row>
    <row r="72" spans="1:17" x14ac:dyDescent="0.15">
      <c r="A72" s="23" t="s">
        <v>29</v>
      </c>
      <c r="B72" s="3">
        <v>45783</v>
      </c>
      <c r="C72" s="43">
        <v>45786</v>
      </c>
      <c r="D72" s="3">
        <v>45786</v>
      </c>
      <c r="E72" s="3" t="s">
        <v>38</v>
      </c>
      <c r="F72" s="23" t="s">
        <v>25</v>
      </c>
      <c r="G72" s="24">
        <v>99</v>
      </c>
      <c r="H72" s="1">
        <v>1</v>
      </c>
      <c r="I72" s="6">
        <v>1</v>
      </c>
      <c r="J72" s="6">
        <v>0</v>
      </c>
      <c r="K72" s="5">
        <v>0.08</v>
      </c>
      <c r="L72" s="24">
        <v>9900</v>
      </c>
      <c r="M72" s="31">
        <f t="shared" si="0"/>
        <v>99.92</v>
      </c>
      <c r="N72" s="7">
        <f t="shared" si="1"/>
        <v>3</v>
      </c>
      <c r="O72" s="8">
        <f>IF(J72="","",M72/L72)</f>
        <v>1.0092929292929292E-2</v>
      </c>
      <c r="P72" s="9">
        <f>IF(O72="","",(O72/(N72)*365))</f>
        <v>1.2279730639730639</v>
      </c>
      <c r="Q72" s="10"/>
    </row>
    <row r="73" spans="1:17" x14ac:dyDescent="0.15">
      <c r="A73" s="21" t="s">
        <v>17</v>
      </c>
      <c r="B73" s="20">
        <v>45786</v>
      </c>
      <c r="C73" s="42">
        <v>45787</v>
      </c>
      <c r="D73" s="20">
        <v>45787</v>
      </c>
      <c r="E73" s="20" t="s">
        <v>18</v>
      </c>
      <c r="F73" s="21" t="s">
        <v>19</v>
      </c>
      <c r="G73" s="22"/>
      <c r="H73" s="11">
        <v>2</v>
      </c>
      <c r="I73" s="15">
        <v>2324.69</v>
      </c>
      <c r="J73" s="15">
        <v>2544.71</v>
      </c>
      <c r="K73" s="14">
        <v>0</v>
      </c>
      <c r="L73" s="22">
        <v>4649</v>
      </c>
      <c r="M73" s="32">
        <f t="shared" si="0"/>
        <v>440.03999999999996</v>
      </c>
      <c r="N73" s="16">
        <f t="shared" si="1"/>
        <v>1</v>
      </c>
      <c r="O73" s="17">
        <f>IF(J73="","",M73/L73)</f>
        <v>9.465261346526134E-2</v>
      </c>
      <c r="P73" s="18">
        <f>IF(O73="","",(O73/(N73)*365))</f>
        <v>34.548203914820391</v>
      </c>
      <c r="Q73" s="19"/>
    </row>
    <row r="74" spans="1:17" ht="28" x14ac:dyDescent="0.15">
      <c r="A74" s="23" t="s">
        <v>29</v>
      </c>
      <c r="B74" s="3">
        <v>45791</v>
      </c>
      <c r="C74" s="43">
        <v>45856</v>
      </c>
      <c r="D74" s="3">
        <v>45799</v>
      </c>
      <c r="E74" s="3" t="s">
        <v>28</v>
      </c>
      <c r="F74" s="23" t="s">
        <v>25</v>
      </c>
      <c r="G74" s="24">
        <v>295</v>
      </c>
      <c r="H74" s="1">
        <v>1</v>
      </c>
      <c r="I74" s="6">
        <f>10+0.54+0.35</f>
        <v>10.889999999999999</v>
      </c>
      <c r="J74" s="6">
        <v>8</v>
      </c>
      <c r="K74" s="5">
        <f>0.04+0.08+0.08+0.04</f>
        <v>0.24000000000000002</v>
      </c>
      <c r="L74" s="24">
        <v>30000</v>
      </c>
      <c r="M74" s="31">
        <f t="shared" si="0"/>
        <v>288.75999999999988</v>
      </c>
      <c r="N74" s="7">
        <f t="shared" si="1"/>
        <v>8</v>
      </c>
      <c r="O74" s="8">
        <f>IF(J74="","",M74/L74)</f>
        <v>9.6253333333333295E-3</v>
      </c>
      <c r="P74" s="9">
        <f>IF(O74="","",(O74/(N74)*365))</f>
        <v>0.43915583333333313</v>
      </c>
      <c r="Q74" s="10" t="s">
        <v>64</v>
      </c>
    </row>
    <row r="75" spans="1:17" x14ac:dyDescent="0.15">
      <c r="A75" s="21" t="s">
        <v>29</v>
      </c>
      <c r="B75" s="20">
        <v>45798</v>
      </c>
      <c r="C75" s="42">
        <v>45814</v>
      </c>
      <c r="D75" s="20">
        <v>45814</v>
      </c>
      <c r="E75" s="20" t="s">
        <v>26</v>
      </c>
      <c r="F75" s="21" t="s">
        <v>25</v>
      </c>
      <c r="G75" s="22">
        <v>215</v>
      </c>
      <c r="H75" s="11">
        <v>1</v>
      </c>
      <c r="I75" s="15">
        <v>4</v>
      </c>
      <c r="J75" s="15">
        <v>0.09</v>
      </c>
      <c r="K75" s="14">
        <f>0.04</f>
        <v>0.04</v>
      </c>
      <c r="L75" s="22">
        <v>21500</v>
      </c>
      <c r="M75" s="32">
        <f t="shared" si="0"/>
        <v>390.96000000000004</v>
      </c>
      <c r="N75" s="16">
        <f t="shared" si="1"/>
        <v>16</v>
      </c>
      <c r="O75" s="17">
        <f>IF(J75="","",M75/L75)</f>
        <v>1.8184186046511629E-2</v>
      </c>
      <c r="P75" s="18">
        <f>IF(O75="","",(O75/(N75)*365))</f>
        <v>0.41482674418604654</v>
      </c>
      <c r="Q75" s="19"/>
    </row>
    <row r="76" spans="1:17" x14ac:dyDescent="0.15">
      <c r="A76" s="23" t="s">
        <v>29</v>
      </c>
      <c r="B76" s="3">
        <v>45800</v>
      </c>
      <c r="C76" s="43">
        <v>45800</v>
      </c>
      <c r="D76" s="3">
        <v>45800</v>
      </c>
      <c r="E76" s="3" t="s">
        <v>51</v>
      </c>
      <c r="F76" s="23" t="s">
        <v>25</v>
      </c>
      <c r="G76" s="24">
        <v>508</v>
      </c>
      <c r="H76" s="1">
        <v>1</v>
      </c>
      <c r="I76" s="6">
        <v>0.4</v>
      </c>
      <c r="J76" s="6">
        <v>0</v>
      </c>
      <c r="K76" s="5">
        <v>0.04</v>
      </c>
      <c r="L76" s="24">
        <v>50800</v>
      </c>
      <c r="M76" s="31">
        <f t="shared" si="0"/>
        <v>39.96</v>
      </c>
      <c r="N76" s="7" t="str">
        <f t="shared" si="1"/>
        <v>1</v>
      </c>
      <c r="O76" s="8">
        <f>IF(J76="","",M76/L76)</f>
        <v>7.8661417322834642E-4</v>
      </c>
      <c r="P76" s="9">
        <f>IF(O76="","",(O76/(N76)*365))</f>
        <v>0.28711417322834643</v>
      </c>
      <c r="Q76" s="25"/>
    </row>
    <row r="77" spans="1:17" x14ac:dyDescent="0.15">
      <c r="A77" s="21" t="s">
        <v>23</v>
      </c>
      <c r="B77" s="20">
        <v>45813</v>
      </c>
      <c r="C77" s="42">
        <v>45814</v>
      </c>
      <c r="D77" s="20">
        <v>45813</v>
      </c>
      <c r="E77" s="20" t="s">
        <v>28</v>
      </c>
      <c r="F77" s="21" t="s">
        <v>25</v>
      </c>
      <c r="G77" s="22">
        <v>285</v>
      </c>
      <c r="H77" s="11">
        <v>1</v>
      </c>
      <c r="I77" s="15">
        <v>11.35</v>
      </c>
      <c r="J77" s="15">
        <v>14.4</v>
      </c>
      <c r="K77" s="14">
        <v>0.08</v>
      </c>
      <c r="L77" s="22">
        <v>28500</v>
      </c>
      <c r="M77" s="32">
        <f t="shared" si="0"/>
        <v>304.92000000000007</v>
      </c>
      <c r="N77" s="16" t="str">
        <f t="shared" si="1"/>
        <v>1</v>
      </c>
      <c r="O77" s="17">
        <f>IF(J77="","",M77/L77)</f>
        <v>1.0698947368421054E-2</v>
      </c>
      <c r="P77" s="18">
        <f>IF(O77="","",(O77/(N77)*365))</f>
        <v>3.905115789473685</v>
      </c>
      <c r="Q77" s="19"/>
    </row>
    <row r="78" spans="1:17" x14ac:dyDescent="0.15">
      <c r="A78" s="23" t="s">
        <v>29</v>
      </c>
      <c r="B78" s="3">
        <v>45810</v>
      </c>
      <c r="C78" s="43">
        <v>45814</v>
      </c>
      <c r="D78" s="3">
        <v>45814</v>
      </c>
      <c r="E78" s="3" t="s">
        <v>26</v>
      </c>
      <c r="F78" s="23" t="s">
        <v>25</v>
      </c>
      <c r="G78" s="24">
        <v>230</v>
      </c>
      <c r="H78" s="1">
        <v>1</v>
      </c>
      <c r="I78" s="6">
        <v>2.5</v>
      </c>
      <c r="J78" s="6">
        <v>0.01</v>
      </c>
      <c r="K78" s="5">
        <v>0.08</v>
      </c>
      <c r="L78" s="24">
        <v>23000</v>
      </c>
      <c r="M78" s="31">
        <f t="shared" si="0"/>
        <v>248.92000000000002</v>
      </c>
      <c r="N78" s="7">
        <f t="shared" si="1"/>
        <v>4</v>
      </c>
      <c r="O78" s="8">
        <f>IF(J78="","",M78/L78)</f>
        <v>1.0822608695652174E-2</v>
      </c>
      <c r="P78" s="9">
        <f>IF(O78="","",(O78/(N78)*365))</f>
        <v>0.98756304347826085</v>
      </c>
      <c r="Q78" s="10"/>
    </row>
    <row r="79" spans="1:17" x14ac:dyDescent="0.15">
      <c r="A79" s="21" t="s">
        <v>29</v>
      </c>
      <c r="B79" s="20">
        <v>45813</v>
      </c>
      <c r="C79" s="20">
        <v>45814</v>
      </c>
      <c r="D79" s="20">
        <v>45814</v>
      </c>
      <c r="E79" s="20" t="s">
        <v>26</v>
      </c>
      <c r="F79" s="21" t="s">
        <v>25</v>
      </c>
      <c r="G79" s="22">
        <v>255</v>
      </c>
      <c r="H79" s="11">
        <v>1</v>
      </c>
      <c r="I79" s="15">
        <v>6.5</v>
      </c>
      <c r="J79" s="15">
        <v>0</v>
      </c>
      <c r="K79" s="14">
        <v>0.04</v>
      </c>
      <c r="L79" s="22">
        <v>25500</v>
      </c>
      <c r="M79" s="32">
        <f t="shared" si="0"/>
        <v>649.96</v>
      </c>
      <c r="N79" s="16">
        <f t="shared" si="1"/>
        <v>1</v>
      </c>
      <c r="O79" s="17">
        <f>IF(J79="","",M79/L79)</f>
        <v>2.5488627450980395E-2</v>
      </c>
      <c r="P79" s="18">
        <f>IF(O79="","",(O79/(N79)*365))</f>
        <v>9.303349019607845</v>
      </c>
      <c r="Q79" s="19"/>
    </row>
    <row r="80" spans="1:17" x14ac:dyDescent="0.15">
      <c r="A80" s="23" t="s">
        <v>31</v>
      </c>
      <c r="B80" s="3">
        <v>45814</v>
      </c>
      <c r="C80" s="3">
        <v>45814</v>
      </c>
      <c r="D80" s="3">
        <v>45835</v>
      </c>
      <c r="E80" s="3" t="s">
        <v>26</v>
      </c>
      <c r="F80" s="23" t="s">
        <v>32</v>
      </c>
      <c r="G80" s="24">
        <v>255</v>
      </c>
      <c r="H80" s="1">
        <v>1</v>
      </c>
      <c r="I80" s="6">
        <v>255</v>
      </c>
      <c r="J80" s="6">
        <v>260</v>
      </c>
      <c r="K80" s="5">
        <v>0</v>
      </c>
      <c r="L80" s="24">
        <v>25500</v>
      </c>
      <c r="M80" s="31">
        <f t="shared" si="0"/>
        <v>500</v>
      </c>
      <c r="N80" s="7">
        <f t="shared" si="1"/>
        <v>21</v>
      </c>
      <c r="O80" s="8">
        <f>IF(J80="","",M80/L80)</f>
        <v>1.9607843137254902E-2</v>
      </c>
      <c r="P80" s="9">
        <f>IF(O80="","",(O80/(N80)*365))</f>
        <v>0.34080298786181135</v>
      </c>
      <c r="Q80" s="10"/>
    </row>
    <row r="81" spans="1:17" x14ac:dyDescent="0.15">
      <c r="A81" s="21" t="s">
        <v>29</v>
      </c>
      <c r="B81" s="20">
        <v>45813</v>
      </c>
      <c r="C81" s="20">
        <v>45814</v>
      </c>
      <c r="D81" s="20">
        <v>45814</v>
      </c>
      <c r="E81" s="20" t="s">
        <v>38</v>
      </c>
      <c r="F81" s="21" t="s">
        <v>25</v>
      </c>
      <c r="G81" s="22">
        <v>118</v>
      </c>
      <c r="H81" s="11">
        <v>1</v>
      </c>
      <c r="I81" s="15">
        <v>1</v>
      </c>
      <c r="J81" s="15">
        <v>0.01</v>
      </c>
      <c r="K81" s="14">
        <v>0.08</v>
      </c>
      <c r="L81" s="22">
        <v>11800</v>
      </c>
      <c r="M81" s="32">
        <f t="shared" si="0"/>
        <v>98.92</v>
      </c>
      <c r="N81" s="16">
        <f t="shared" si="1"/>
        <v>1</v>
      </c>
      <c r="O81" s="17">
        <f>IF(J81="","",M81/L81)</f>
        <v>8.3830508474576279E-3</v>
      </c>
      <c r="P81" s="18">
        <f>IF(O81="","",(O81/(N81)*365))</f>
        <v>3.0598135593220341</v>
      </c>
      <c r="Q81" s="19"/>
    </row>
    <row r="82" spans="1:17" x14ac:dyDescent="0.15">
      <c r="A82" s="23" t="s">
        <v>29</v>
      </c>
      <c r="B82" s="3">
        <v>45813</v>
      </c>
      <c r="C82" s="3">
        <v>45814</v>
      </c>
      <c r="D82" s="3">
        <v>45813</v>
      </c>
      <c r="E82" s="3" t="s">
        <v>28</v>
      </c>
      <c r="F82" s="23" t="s">
        <v>25</v>
      </c>
      <c r="G82" s="24">
        <v>250</v>
      </c>
      <c r="H82" s="1">
        <v>1</v>
      </c>
      <c r="I82" s="6">
        <v>0.85</v>
      </c>
      <c r="J82" s="6">
        <v>3.23</v>
      </c>
      <c r="K82" s="5">
        <v>0.08</v>
      </c>
      <c r="L82" s="24">
        <v>25000</v>
      </c>
      <c r="M82" s="31">
        <f t="shared" si="0"/>
        <v>-238.07999999999998</v>
      </c>
      <c r="N82" s="7" t="str">
        <f t="shared" si="1"/>
        <v>1</v>
      </c>
      <c r="O82" s="8">
        <f>IF(J82="","",M82/L82)</f>
        <v>-9.523199999999999E-3</v>
      </c>
      <c r="P82" s="9">
        <f>IF(O82="","",(O82/(N82)*365))</f>
        <v>-3.4759679999999995</v>
      </c>
      <c r="Q82" s="10"/>
    </row>
    <row r="83" spans="1:17" x14ac:dyDescent="0.15">
      <c r="A83" s="21" t="s">
        <v>23</v>
      </c>
      <c r="B83" s="20">
        <v>45813</v>
      </c>
      <c r="C83" s="20">
        <v>45814</v>
      </c>
      <c r="D83" s="20">
        <v>45813</v>
      </c>
      <c r="E83" s="20" t="s">
        <v>28</v>
      </c>
      <c r="F83" s="21" t="s">
        <v>25</v>
      </c>
      <c r="G83" s="22">
        <v>285</v>
      </c>
      <c r="H83" s="11">
        <v>1</v>
      </c>
      <c r="I83" s="15">
        <v>8.25</v>
      </c>
      <c r="J83" s="15">
        <v>8.65</v>
      </c>
      <c r="K83" s="14">
        <v>0.08</v>
      </c>
      <c r="L83" s="22">
        <v>28500</v>
      </c>
      <c r="M83" s="32">
        <f t="shared" si="0"/>
        <v>39.92000000000003</v>
      </c>
      <c r="N83" s="16" t="str">
        <f t="shared" si="1"/>
        <v>1</v>
      </c>
      <c r="O83" s="17">
        <f>IF(J83="","",M83/L83)</f>
        <v>1.4007017543859659E-3</v>
      </c>
      <c r="P83" s="18">
        <f>IF(O83="","",(O83/(N83)*365))</f>
        <v>0.51125614035087752</v>
      </c>
      <c r="Q83" s="19"/>
    </row>
    <row r="84" spans="1:17" x14ac:dyDescent="0.15">
      <c r="A84" s="23" t="s">
        <v>23</v>
      </c>
      <c r="B84" s="3">
        <v>45814</v>
      </c>
      <c r="C84" s="3">
        <v>45814</v>
      </c>
      <c r="D84" s="3">
        <v>45814</v>
      </c>
      <c r="E84" s="3" t="s">
        <v>28</v>
      </c>
      <c r="F84" s="23" t="s">
        <v>25</v>
      </c>
      <c r="G84" s="24">
        <v>300</v>
      </c>
      <c r="H84" s="1">
        <v>1</v>
      </c>
      <c r="I84" s="6">
        <v>3.2</v>
      </c>
      <c r="J84" s="6">
        <v>2.9</v>
      </c>
      <c r="K84" s="5">
        <v>0.08</v>
      </c>
      <c r="L84" s="24">
        <v>30000</v>
      </c>
      <c r="M84" s="31">
        <f t="shared" si="0"/>
        <v>-30.08000000000003</v>
      </c>
      <c r="N84" s="7" t="str">
        <f t="shared" si="1"/>
        <v>1</v>
      </c>
      <c r="O84" s="8">
        <f>IF(J84="","",M84/L84)</f>
        <v>-1.0026666666666678E-3</v>
      </c>
      <c r="P84" s="9">
        <f>IF(O84="","",(O84/(N84)*365))</f>
        <v>-0.36597333333333376</v>
      </c>
      <c r="Q84" s="10"/>
    </row>
    <row r="85" spans="1:17" x14ac:dyDescent="0.15">
      <c r="A85" s="21" t="s">
        <v>23</v>
      </c>
      <c r="B85" s="20">
        <v>45817</v>
      </c>
      <c r="C85" s="20">
        <v>45884</v>
      </c>
      <c r="D85" s="20">
        <v>45862</v>
      </c>
      <c r="E85" s="20" t="s">
        <v>28</v>
      </c>
      <c r="F85" s="21" t="s">
        <v>25</v>
      </c>
      <c r="G85" s="22">
        <v>290</v>
      </c>
      <c r="H85" s="11">
        <v>1</v>
      </c>
      <c r="I85" s="15">
        <v>33</v>
      </c>
      <c r="J85" s="15">
        <v>8</v>
      </c>
      <c r="K85" s="14">
        <f>0.04+0.04</f>
        <v>0.08</v>
      </c>
      <c r="L85" s="22">
        <v>3300</v>
      </c>
      <c r="M85" s="32">
        <f t="shared" si="0"/>
        <v>-2500.0800000000004</v>
      </c>
      <c r="N85" s="16">
        <f t="shared" si="1"/>
        <v>45</v>
      </c>
      <c r="O85" s="17">
        <f>IF(J85="","",M85/L85)</f>
        <v>-0.75760000000000016</v>
      </c>
      <c r="P85" s="18">
        <f>IF(O85="","",(O85/(N85)*365))</f>
        <v>-6.144977777777779</v>
      </c>
      <c r="Q85" s="19"/>
    </row>
    <row r="86" spans="1:17" ht="28" x14ac:dyDescent="0.15">
      <c r="A86" s="23" t="s">
        <v>29</v>
      </c>
      <c r="B86" s="3">
        <v>45817</v>
      </c>
      <c r="C86" s="3">
        <v>45835</v>
      </c>
      <c r="D86" s="3">
        <v>45835</v>
      </c>
      <c r="E86" s="3" t="s">
        <v>26</v>
      </c>
      <c r="F86" s="23" t="s">
        <v>27</v>
      </c>
      <c r="G86" s="24">
        <v>260</v>
      </c>
      <c r="H86" s="1">
        <v>1</v>
      </c>
      <c r="I86" s="6">
        <f>1.4+1.8+1</f>
        <v>4.2</v>
      </c>
      <c r="J86" s="6">
        <v>0</v>
      </c>
      <c r="K86" s="5">
        <v>0.04</v>
      </c>
      <c r="L86" s="24">
        <v>25500</v>
      </c>
      <c r="M86" s="31">
        <f t="shared" si="0"/>
        <v>419.96000000000004</v>
      </c>
      <c r="N86" s="7">
        <f t="shared" si="1"/>
        <v>18</v>
      </c>
      <c r="O86" s="8">
        <f>IF(J86="","",M86/L86)</f>
        <v>1.6469019607843138E-2</v>
      </c>
      <c r="P86" s="9">
        <f>IF(O86="","",(O86/(N86)*365))</f>
        <v>0.33395511982570808</v>
      </c>
      <c r="Q86" s="10" t="s">
        <v>65</v>
      </c>
    </row>
    <row r="87" spans="1:17" x14ac:dyDescent="0.15">
      <c r="A87" s="21" t="s">
        <v>29</v>
      </c>
      <c r="B87" s="20">
        <v>45817</v>
      </c>
      <c r="C87" s="20">
        <v>45821</v>
      </c>
      <c r="D87" s="20">
        <v>45821</v>
      </c>
      <c r="E87" s="20" t="s">
        <v>24</v>
      </c>
      <c r="F87" s="21" t="s">
        <v>27</v>
      </c>
      <c r="G87" s="22">
        <v>143</v>
      </c>
      <c r="H87" s="11">
        <v>1</v>
      </c>
      <c r="I87" s="15">
        <v>2.1</v>
      </c>
      <c r="J87" s="15">
        <v>0.1</v>
      </c>
      <c r="K87" s="14">
        <v>0.04</v>
      </c>
      <c r="L87" s="22">
        <v>14300</v>
      </c>
      <c r="M87" s="32">
        <f t="shared" si="0"/>
        <v>199.96</v>
      </c>
      <c r="N87" s="16">
        <f t="shared" si="1"/>
        <v>4</v>
      </c>
      <c r="O87" s="17">
        <f>IF(J87="","",M87/L87)</f>
        <v>1.3983216783216785E-2</v>
      </c>
      <c r="P87" s="18">
        <f>IF(O87="","",(O87/(N87)*365))</f>
        <v>1.2759685314685316</v>
      </c>
      <c r="Q87" s="19"/>
    </row>
    <row r="88" spans="1:17" x14ac:dyDescent="0.15">
      <c r="A88" s="23" t="s">
        <v>29</v>
      </c>
      <c r="B88" s="3">
        <v>45817</v>
      </c>
      <c r="C88" s="3">
        <v>45828</v>
      </c>
      <c r="D88" s="3">
        <v>45828</v>
      </c>
      <c r="E88" s="3" t="s">
        <v>35</v>
      </c>
      <c r="F88" s="23" t="s">
        <v>27</v>
      </c>
      <c r="G88" s="24">
        <v>182.5</v>
      </c>
      <c r="H88" s="1">
        <v>1</v>
      </c>
      <c r="I88" s="6">
        <f>0.41+0.43</f>
        <v>0.84</v>
      </c>
      <c r="J88" s="6">
        <v>0</v>
      </c>
      <c r="K88" s="5">
        <f>0.04+0.08</f>
        <v>0.12</v>
      </c>
      <c r="L88" s="24">
        <v>1</v>
      </c>
      <c r="M88" s="31">
        <f t="shared" si="0"/>
        <v>83.88</v>
      </c>
      <c r="N88" s="7">
        <f t="shared" si="1"/>
        <v>11</v>
      </c>
      <c r="O88" s="8">
        <f>IF(J88="","",M88/L88)</f>
        <v>83.88</v>
      </c>
      <c r="P88" s="9">
        <f>IF(O88="","",(O88/(N88)*365))</f>
        <v>2783.2909090909088</v>
      </c>
      <c r="Q88" s="10"/>
    </row>
    <row r="89" spans="1:17" x14ac:dyDescent="0.15">
      <c r="A89" s="21" t="s">
        <v>29</v>
      </c>
      <c r="B89" s="20">
        <v>45826</v>
      </c>
      <c r="C89" s="20">
        <v>45826</v>
      </c>
      <c r="D89" s="20">
        <v>45826</v>
      </c>
      <c r="E89" s="20" t="s">
        <v>51</v>
      </c>
      <c r="F89" s="21" t="s">
        <v>25</v>
      </c>
      <c r="G89" s="22">
        <v>525</v>
      </c>
      <c r="H89" s="11">
        <v>1</v>
      </c>
      <c r="I89" s="15">
        <v>0.94</v>
      </c>
      <c r="J89" s="15">
        <v>0.84</v>
      </c>
      <c r="K89" s="14">
        <v>0.08</v>
      </c>
      <c r="L89" s="22">
        <v>52500</v>
      </c>
      <c r="M89" s="32">
        <f t="shared" si="0"/>
        <v>9.9199999999999982</v>
      </c>
      <c r="N89" s="16" t="str">
        <f t="shared" si="1"/>
        <v>1</v>
      </c>
      <c r="O89" s="17">
        <f>IF(J89="","",M89/L89)</f>
        <v>1.889523809523809E-4</v>
      </c>
      <c r="P89" s="18">
        <f>IF(O89="","",(O89/(N89)*365))</f>
        <v>6.8967619047619028E-2</v>
      </c>
      <c r="Q89" s="19"/>
    </row>
    <row r="90" spans="1:17" x14ac:dyDescent="0.15">
      <c r="A90" s="23" t="s">
        <v>29</v>
      </c>
      <c r="B90" s="3">
        <v>45833</v>
      </c>
      <c r="C90" s="3">
        <v>45835</v>
      </c>
      <c r="D90" s="3">
        <v>45835</v>
      </c>
      <c r="E90" s="3" t="s">
        <v>35</v>
      </c>
      <c r="F90" s="23" t="s">
        <v>27</v>
      </c>
      <c r="G90" s="24">
        <v>175</v>
      </c>
      <c r="H90" s="1">
        <v>1</v>
      </c>
      <c r="I90" s="6">
        <v>0.48</v>
      </c>
      <c r="J90" s="6">
        <v>0</v>
      </c>
      <c r="K90" s="5">
        <v>0.04</v>
      </c>
      <c r="L90" s="24">
        <v>1</v>
      </c>
      <c r="M90" s="31">
        <f t="shared" si="0"/>
        <v>47.959999999999994</v>
      </c>
      <c r="N90" s="7">
        <f t="shared" si="1"/>
        <v>2</v>
      </c>
      <c r="O90" s="8">
        <f>IF(J90="","",M90/L90)</f>
        <v>47.959999999999994</v>
      </c>
      <c r="P90" s="9">
        <f>IF(O90="","",(O90/(N90)*365))</f>
        <v>8752.6999999999989</v>
      </c>
      <c r="Q90" s="10"/>
    </row>
    <row r="91" spans="1:17" x14ac:dyDescent="0.15">
      <c r="A91" s="21" t="s">
        <v>23</v>
      </c>
      <c r="B91" s="20">
        <v>45833</v>
      </c>
      <c r="C91" s="20">
        <v>45835</v>
      </c>
      <c r="D91" s="20">
        <v>45833</v>
      </c>
      <c r="E91" s="20" t="s">
        <v>26</v>
      </c>
      <c r="F91" s="21" t="s">
        <v>27</v>
      </c>
      <c r="G91" s="22">
        <v>240</v>
      </c>
      <c r="H91" s="11">
        <v>1</v>
      </c>
      <c r="I91" s="15">
        <v>25</v>
      </c>
      <c r="J91" s="15">
        <v>25.5</v>
      </c>
      <c r="K91" s="14">
        <v>0.08</v>
      </c>
      <c r="L91" s="22">
        <v>2500</v>
      </c>
      <c r="M91" s="32">
        <f t="shared" si="0"/>
        <v>49.919999999999995</v>
      </c>
      <c r="N91" s="16" t="str">
        <f t="shared" si="1"/>
        <v>1</v>
      </c>
      <c r="O91" s="17">
        <f>IF(J91="","",M91/L91)</f>
        <v>1.9967999999999996E-2</v>
      </c>
      <c r="P91" s="18">
        <f>IF(O91="","",(O91/(N91)*365))</f>
        <v>7.2883199999999988</v>
      </c>
      <c r="Q91" s="19"/>
    </row>
    <row r="92" spans="1:17" x14ac:dyDescent="0.15">
      <c r="A92" s="23" t="s">
        <v>23</v>
      </c>
      <c r="B92" s="3">
        <v>45835</v>
      </c>
      <c r="C92" s="3">
        <v>46010</v>
      </c>
      <c r="D92" s="3">
        <v>45855</v>
      </c>
      <c r="E92" s="3" t="s">
        <v>28</v>
      </c>
      <c r="F92" s="23" t="s">
        <v>27</v>
      </c>
      <c r="G92" s="24">
        <v>205</v>
      </c>
      <c r="H92" s="1">
        <v>1</v>
      </c>
      <c r="I92" s="6">
        <v>130</v>
      </c>
      <c r="J92" s="6">
        <v>124.5</v>
      </c>
      <c r="K92" s="5">
        <v>0.08</v>
      </c>
      <c r="L92" s="24">
        <v>13000</v>
      </c>
      <c r="M92" s="31">
        <f t="shared" si="0"/>
        <v>-550.08000000000004</v>
      </c>
      <c r="N92" s="7">
        <f t="shared" si="1"/>
        <v>20</v>
      </c>
      <c r="O92" s="8">
        <f>IF(J92="","",M92/L92)</f>
        <v>-4.231384615384616E-2</v>
      </c>
      <c r="P92" s="9">
        <f>IF(O92="","",(O92/(N92)*365))</f>
        <v>-0.77222769230769239</v>
      </c>
      <c r="Q92" s="10"/>
    </row>
    <row r="93" spans="1:17" x14ac:dyDescent="0.15">
      <c r="A93" s="21" t="s">
        <v>29</v>
      </c>
      <c r="B93" s="20">
        <v>45838</v>
      </c>
      <c r="C93" s="20">
        <v>45863</v>
      </c>
      <c r="D93" s="20">
        <v>45855</v>
      </c>
      <c r="E93" s="20" t="s">
        <v>28</v>
      </c>
      <c r="F93" s="21" t="s">
        <v>27</v>
      </c>
      <c r="G93" s="22">
        <v>365</v>
      </c>
      <c r="H93" s="11">
        <v>1</v>
      </c>
      <c r="I93" s="15">
        <v>8.1</v>
      </c>
      <c r="J93" s="15">
        <v>1.68</v>
      </c>
      <c r="K93" s="14">
        <v>0.08</v>
      </c>
      <c r="L93" s="22">
        <v>13000</v>
      </c>
      <c r="M93" s="32">
        <f t="shared" si="0"/>
        <v>641.91999999999996</v>
      </c>
      <c r="N93" s="16">
        <f t="shared" si="1"/>
        <v>17</v>
      </c>
      <c r="O93" s="17">
        <f>IF(J93="","",M93/L93)</f>
        <v>4.9378461538461538E-2</v>
      </c>
      <c r="P93" s="18">
        <f>IF(O93="","",(O93/(N93)*365))</f>
        <v>1.0601846153846153</v>
      </c>
      <c r="Q93" s="19"/>
    </row>
    <row r="94" spans="1:17" x14ac:dyDescent="0.15">
      <c r="A94" s="23" t="s">
        <v>29</v>
      </c>
      <c r="B94" s="3">
        <v>45838</v>
      </c>
      <c r="C94" s="3">
        <v>45841</v>
      </c>
      <c r="D94" s="3">
        <v>45841</v>
      </c>
      <c r="E94" s="3" t="s">
        <v>38</v>
      </c>
      <c r="F94" s="23" t="s">
        <v>25</v>
      </c>
      <c r="G94" s="24">
        <v>130</v>
      </c>
      <c r="H94" s="1">
        <v>1</v>
      </c>
      <c r="I94" s="6">
        <v>0.9</v>
      </c>
      <c r="J94" s="6">
        <v>0</v>
      </c>
      <c r="K94" s="5">
        <v>0.04</v>
      </c>
      <c r="L94" s="24">
        <v>13000</v>
      </c>
      <c r="M94" s="31">
        <f t="shared" si="0"/>
        <v>89.960000000000008</v>
      </c>
      <c r="N94" s="7">
        <f t="shared" si="1"/>
        <v>3</v>
      </c>
      <c r="O94" s="8">
        <f>IF(J94="","",M94/L94)</f>
        <v>6.9200000000000008E-3</v>
      </c>
      <c r="P94" s="9">
        <f>IF(O94="","",(O94/(N94)*365))</f>
        <v>0.84193333333333342</v>
      </c>
      <c r="Q94" s="10"/>
    </row>
    <row r="95" spans="1:17" x14ac:dyDescent="0.15">
      <c r="A95" s="21" t="s">
        <v>23</v>
      </c>
      <c r="B95" s="20">
        <v>45839</v>
      </c>
      <c r="C95" s="20">
        <v>46010</v>
      </c>
      <c r="D95" s="20">
        <v>45874</v>
      </c>
      <c r="E95" s="20" t="s">
        <v>26</v>
      </c>
      <c r="F95" s="21" t="s">
        <v>27</v>
      </c>
      <c r="G95" s="22">
        <v>190</v>
      </c>
      <c r="H95" s="11">
        <v>2</v>
      </c>
      <c r="I95" s="15">
        <v>90</v>
      </c>
      <c r="J95" s="15">
        <v>115</v>
      </c>
      <c r="K95" s="14">
        <f>0.08+0.08</f>
        <v>0.16</v>
      </c>
      <c r="L95" s="22">
        <v>18000</v>
      </c>
      <c r="M95" s="32">
        <f t="shared" si="0"/>
        <v>4999.68</v>
      </c>
      <c r="N95" s="16">
        <f t="shared" si="1"/>
        <v>35</v>
      </c>
      <c r="O95" s="17">
        <f>IF(J95="","",M95/L95)</f>
        <v>0.27776000000000001</v>
      </c>
      <c r="P95" s="18">
        <f>IF(O95="","",(O95/(N95)*365))</f>
        <v>2.8966400000000001</v>
      </c>
      <c r="Q95" s="19"/>
    </row>
    <row r="96" spans="1:17" x14ac:dyDescent="0.15">
      <c r="A96" s="23" t="s">
        <v>29</v>
      </c>
      <c r="B96" s="3">
        <v>45839</v>
      </c>
      <c r="C96" s="3">
        <v>45877</v>
      </c>
      <c r="D96" s="3">
        <v>45874</v>
      </c>
      <c r="E96" s="3" t="s">
        <v>26</v>
      </c>
      <c r="F96" s="23" t="s">
        <v>27</v>
      </c>
      <c r="G96" s="24">
        <v>285</v>
      </c>
      <c r="H96" s="1">
        <v>2</v>
      </c>
      <c r="I96" s="6">
        <v>6</v>
      </c>
      <c r="J96" s="6">
        <v>16</v>
      </c>
      <c r="K96" s="5">
        <f>0.08+0.08</f>
        <v>0.16</v>
      </c>
      <c r="L96" s="24">
        <v>18000</v>
      </c>
      <c r="M96" s="31">
        <f t="shared" si="0"/>
        <v>-2000.32</v>
      </c>
      <c r="N96" s="7">
        <f t="shared" si="1"/>
        <v>35</v>
      </c>
      <c r="O96" s="8">
        <f>IF(J96="","",M96/L96)</f>
        <v>-0.11112888888888889</v>
      </c>
      <c r="P96" s="9">
        <f>IF(O96="","",(O96/(N96)*365))</f>
        <v>-1.1589155555555555</v>
      </c>
      <c r="Q96" s="10"/>
    </row>
    <row r="97" spans="1:17" x14ac:dyDescent="0.15">
      <c r="A97" s="21" t="s">
        <v>23</v>
      </c>
      <c r="B97" s="20">
        <v>45847</v>
      </c>
      <c r="C97" s="20">
        <v>46038</v>
      </c>
      <c r="D97" s="20">
        <v>45855</v>
      </c>
      <c r="E97" s="20" t="s">
        <v>66</v>
      </c>
      <c r="F97" s="21" t="s">
        <v>27</v>
      </c>
      <c r="G97" s="22">
        <v>160</v>
      </c>
      <c r="H97" s="11">
        <v>1</v>
      </c>
      <c r="I97" s="15">
        <v>55</v>
      </c>
      <c r="J97" s="15">
        <v>56.55</v>
      </c>
      <c r="K97" s="14">
        <v>0.04</v>
      </c>
      <c r="L97" s="22">
        <v>5500</v>
      </c>
      <c r="M97" s="32">
        <f t="shared" si="0"/>
        <v>154.95999999999972</v>
      </c>
      <c r="N97" s="16">
        <f t="shared" si="1"/>
        <v>8</v>
      </c>
      <c r="O97" s="17">
        <f>IF(J97="","",M97/L97)</f>
        <v>2.8174545454545404E-2</v>
      </c>
      <c r="P97" s="18">
        <f>IF(O97="","",(O97/(N97)*365))</f>
        <v>1.285463636363634</v>
      </c>
      <c r="Q97" s="19"/>
    </row>
    <row r="98" spans="1:17" x14ac:dyDescent="0.15">
      <c r="A98" s="23" t="s">
        <v>29</v>
      </c>
      <c r="B98" s="3">
        <v>45847</v>
      </c>
      <c r="C98" s="3">
        <v>45884</v>
      </c>
      <c r="D98" s="3">
        <v>45855</v>
      </c>
      <c r="E98" s="3" t="s">
        <v>66</v>
      </c>
      <c r="F98" s="23" t="s">
        <v>27</v>
      </c>
      <c r="G98" s="24">
        <v>225</v>
      </c>
      <c r="H98" s="1">
        <v>1</v>
      </c>
      <c r="I98" s="6">
        <v>2.75</v>
      </c>
      <c r="J98" s="6">
        <v>2.15</v>
      </c>
      <c r="K98" s="5">
        <v>0.04</v>
      </c>
      <c r="L98" s="24">
        <v>5500</v>
      </c>
      <c r="M98" s="31">
        <f t="shared" si="0"/>
        <v>59.960000000000015</v>
      </c>
      <c r="N98" s="7">
        <f t="shared" si="1"/>
        <v>8</v>
      </c>
      <c r="O98" s="8">
        <f>IF(J98="","",M98/L98)</f>
        <v>1.0901818181818184E-2</v>
      </c>
      <c r="P98" s="9">
        <f>IF(O98="","",(O98/(N98)*365))</f>
        <v>0.49739545454545464</v>
      </c>
      <c r="Q98" s="10"/>
    </row>
    <row r="99" spans="1:17" x14ac:dyDescent="0.15">
      <c r="A99" s="21" t="s">
        <v>23</v>
      </c>
      <c r="B99" s="20">
        <v>45858</v>
      </c>
      <c r="C99" s="20">
        <v>45858</v>
      </c>
      <c r="D99" s="20">
        <v>45858</v>
      </c>
      <c r="E99" s="20" t="s">
        <v>67</v>
      </c>
      <c r="F99" s="21" t="s">
        <v>19</v>
      </c>
      <c r="G99" s="22"/>
      <c r="H99" s="11">
        <v>1</v>
      </c>
      <c r="I99" s="15">
        <v>39.424999999999997</v>
      </c>
      <c r="J99" s="15">
        <v>38.875</v>
      </c>
      <c r="K99" s="14">
        <v>0</v>
      </c>
      <c r="L99" s="22">
        <v>3943</v>
      </c>
      <c r="M99" s="32">
        <f t="shared" si="0"/>
        <v>-54.999999999999716</v>
      </c>
      <c r="N99" s="16" t="str">
        <f t="shared" si="1"/>
        <v>1</v>
      </c>
      <c r="O99" s="17">
        <f>IF(J99="","",M99/L99)</f>
        <v>-1.3948769972102388E-2</v>
      </c>
      <c r="P99" s="18">
        <f>IF(O99="","",(O99/(N99)*365))</f>
        <v>-5.0913010398173713</v>
      </c>
      <c r="Q99" s="19"/>
    </row>
    <row r="100" spans="1:17" x14ac:dyDescent="0.15">
      <c r="A100" s="23" t="s">
        <v>29</v>
      </c>
      <c r="B100" s="3">
        <v>45859</v>
      </c>
      <c r="C100" s="3">
        <v>45863</v>
      </c>
      <c r="D100" s="3">
        <v>45863</v>
      </c>
      <c r="E100" s="3" t="s">
        <v>26</v>
      </c>
      <c r="F100" s="23" t="s">
        <v>27</v>
      </c>
      <c r="G100" s="24">
        <v>300</v>
      </c>
      <c r="H100" s="1">
        <v>1</v>
      </c>
      <c r="I100" s="6">
        <v>0.81</v>
      </c>
      <c r="J100" s="6">
        <v>0</v>
      </c>
      <c r="K100" s="5">
        <v>0.04</v>
      </c>
      <c r="L100" s="24">
        <v>1</v>
      </c>
      <c r="M100" s="31">
        <f t="shared" si="0"/>
        <v>80.960000000000008</v>
      </c>
      <c r="N100" s="7">
        <f t="shared" si="1"/>
        <v>4</v>
      </c>
      <c r="O100" s="8">
        <f>IF(J100="","",M100/L100)</f>
        <v>80.960000000000008</v>
      </c>
      <c r="P100" s="9">
        <f>IF(O100="","",(O100/(N100)*365))</f>
        <v>7387.6</v>
      </c>
      <c r="Q100" s="10"/>
    </row>
    <row r="101" spans="1:17" x14ac:dyDescent="0.15">
      <c r="A101" s="21" t="s">
        <v>29</v>
      </c>
      <c r="B101" s="20">
        <v>45859</v>
      </c>
      <c r="C101" s="20">
        <v>45863</v>
      </c>
      <c r="D101" s="20">
        <v>45863</v>
      </c>
      <c r="E101" s="20" t="s">
        <v>38</v>
      </c>
      <c r="F101" s="21" t="s">
        <v>25</v>
      </c>
      <c r="G101" s="22">
        <v>145</v>
      </c>
      <c r="H101" s="11">
        <v>1</v>
      </c>
      <c r="I101" s="15">
        <v>0.65</v>
      </c>
      <c r="J101" s="15">
        <v>0</v>
      </c>
      <c r="K101" s="14">
        <v>0.04</v>
      </c>
      <c r="L101" s="22">
        <v>14500</v>
      </c>
      <c r="M101" s="32">
        <f t="shared" si="0"/>
        <v>64.960000000000008</v>
      </c>
      <c r="N101" s="16">
        <f t="shared" si="1"/>
        <v>4</v>
      </c>
      <c r="O101" s="17">
        <f>IF(J101="","",M101/L101)</f>
        <v>4.4800000000000005E-3</v>
      </c>
      <c r="P101" s="18">
        <f>IF(O101="","",(O101/(N101)*365))</f>
        <v>0.40880000000000005</v>
      </c>
      <c r="Q101" s="19"/>
    </row>
    <row r="102" spans="1:17" x14ac:dyDescent="0.15">
      <c r="A102" s="23" t="s">
        <v>29</v>
      </c>
      <c r="B102" s="3">
        <v>45859</v>
      </c>
      <c r="C102" s="3">
        <v>45863</v>
      </c>
      <c r="D102" s="3">
        <v>45863</v>
      </c>
      <c r="E102" s="3" t="s">
        <v>24</v>
      </c>
      <c r="F102" s="23" t="s">
        <v>25</v>
      </c>
      <c r="G102" s="24">
        <v>165</v>
      </c>
      <c r="H102" s="1">
        <v>1</v>
      </c>
      <c r="I102" s="6">
        <v>0.55000000000000004</v>
      </c>
      <c r="J102" s="6">
        <v>0</v>
      </c>
      <c r="K102" s="5">
        <v>0.04</v>
      </c>
      <c r="L102" s="24">
        <v>16500</v>
      </c>
      <c r="M102" s="31">
        <f t="shared" si="0"/>
        <v>54.960000000000008</v>
      </c>
      <c r="N102" s="7">
        <f t="shared" si="1"/>
        <v>4</v>
      </c>
      <c r="O102" s="8">
        <f>IF(J102="","",M102/L102)</f>
        <v>3.3309090909090914E-3</v>
      </c>
      <c r="P102" s="9">
        <f>IF(O102="","",(O102/(N102)*365))</f>
        <v>0.30394545454545457</v>
      </c>
      <c r="Q102" s="10"/>
    </row>
    <row r="103" spans="1:17" ht="28" x14ac:dyDescent="0.15">
      <c r="A103" s="21" t="s">
        <v>23</v>
      </c>
      <c r="B103" s="20">
        <v>45860</v>
      </c>
      <c r="C103" s="20">
        <v>46101</v>
      </c>
      <c r="D103" s="20"/>
      <c r="E103" s="20" t="s">
        <v>68</v>
      </c>
      <c r="F103" s="21" t="s">
        <v>27</v>
      </c>
      <c r="G103" s="22">
        <v>90</v>
      </c>
      <c r="H103" s="11">
        <v>5</v>
      </c>
      <c r="I103" s="15">
        <f>32.5+1.985</f>
        <v>34.484999999999999</v>
      </c>
      <c r="J103" s="15"/>
      <c r="K103" s="14">
        <v>0.06</v>
      </c>
      <c r="L103" s="22">
        <v>16250</v>
      </c>
      <c r="M103" s="32" t="str">
        <f t="shared" si="0"/>
        <v/>
      </c>
      <c r="N103" s="16" t="str">
        <f t="shared" si="1"/>
        <v/>
      </c>
      <c r="O103" s="17" t="str">
        <f>IF(J103="","",M103/L103)</f>
        <v/>
      </c>
      <c r="P103" s="18" t="str">
        <f>IF(O103="","",(O103/(N103)*365))</f>
        <v/>
      </c>
      <c r="Q103" s="19" t="s">
        <v>69</v>
      </c>
    </row>
    <row r="104" spans="1:17" ht="14" x14ac:dyDescent="0.15">
      <c r="A104" s="21" t="s">
        <v>23</v>
      </c>
      <c r="B104" s="20">
        <v>45860</v>
      </c>
      <c r="C104" s="20">
        <v>45736</v>
      </c>
      <c r="D104" s="20">
        <v>46024</v>
      </c>
      <c r="E104" s="20" t="s">
        <v>68</v>
      </c>
      <c r="F104" s="21" t="s">
        <v>27</v>
      </c>
      <c r="G104" s="22">
        <v>90</v>
      </c>
      <c r="H104" s="11">
        <v>5</v>
      </c>
      <c r="I104" s="15">
        <v>34.49</v>
      </c>
      <c r="J104" s="15">
        <v>8.9499999999999993</v>
      </c>
      <c r="K104" s="14">
        <v>0.06</v>
      </c>
      <c r="L104" s="22">
        <v>16250</v>
      </c>
      <c r="M104" s="32">
        <f t="shared" ref="M104" si="3">IF(J104="","",IF(A104="SELL",(I104-J104-K104/100)*H104*100, IF(A104="BUY",(J104-I104-K104/100)*H104*100, IF(A104="ASS",(J104-I104-K104/100)*H104*100,IF(A104="ASSIGNED",(J104-I104-K104/100)*H104*100, IF(A104="SDI",((J104-I104)*H104)-(K104), IF(A104="","")))))))</f>
        <v>-12770.300000000001</v>
      </c>
      <c r="N104" s="16">
        <f t="shared" ref="N104" si="4">IF(D104="","",(IF(D104-B104&lt;1,"1",D104-B104)))</f>
        <v>164</v>
      </c>
      <c r="O104" s="17">
        <f>IF(J104="","",M104/L104)</f>
        <v>-0.78586461538461549</v>
      </c>
      <c r="P104" s="18">
        <f>IF(O104="","",(O104/(N104)*365))</f>
        <v>-1.7490279549718577</v>
      </c>
      <c r="Q104" s="19" t="s">
        <v>70</v>
      </c>
    </row>
    <row r="105" spans="1:17" x14ac:dyDescent="0.15">
      <c r="A105" s="23" t="s">
        <v>29</v>
      </c>
      <c r="B105" s="3">
        <v>45860</v>
      </c>
      <c r="C105" s="3">
        <v>45870</v>
      </c>
      <c r="D105" s="3">
        <v>45869</v>
      </c>
      <c r="E105" s="3" t="s">
        <v>68</v>
      </c>
      <c r="F105" s="23" t="s">
        <v>27</v>
      </c>
      <c r="G105" s="24">
        <v>1230</v>
      </c>
      <c r="H105" s="1">
        <v>1</v>
      </c>
      <c r="I105" s="6">
        <v>8</v>
      </c>
      <c r="J105" s="6">
        <v>0.24</v>
      </c>
      <c r="K105" s="5">
        <f>0.04</f>
        <v>0.04</v>
      </c>
      <c r="L105" s="24">
        <v>32500</v>
      </c>
      <c r="M105" s="31">
        <f t="shared" si="0"/>
        <v>775.96</v>
      </c>
      <c r="N105" s="7">
        <f t="shared" si="1"/>
        <v>9</v>
      </c>
      <c r="O105" s="8">
        <f>IF(J105="","",M105/L105)</f>
        <v>2.387569230769231E-2</v>
      </c>
      <c r="P105" s="9">
        <f>IF(O105="","",(O105/(N105)*365))</f>
        <v>0.96829196581196597</v>
      </c>
      <c r="Q105" s="10"/>
    </row>
    <row r="106" spans="1:17" ht="28" x14ac:dyDescent="0.15">
      <c r="A106" s="21" t="s">
        <v>29</v>
      </c>
      <c r="B106" s="20">
        <v>45866</v>
      </c>
      <c r="C106" s="20">
        <v>45891</v>
      </c>
      <c r="D106" s="20">
        <v>45891</v>
      </c>
      <c r="E106" s="20" t="s">
        <v>26</v>
      </c>
      <c r="F106" s="21" t="s">
        <v>27</v>
      </c>
      <c r="G106" s="22">
        <v>320</v>
      </c>
      <c r="H106" s="11">
        <v>1</v>
      </c>
      <c r="I106" s="15">
        <f>0.4+1+1+1.15</f>
        <v>3.55</v>
      </c>
      <c r="J106" s="15">
        <v>0</v>
      </c>
      <c r="K106" s="14">
        <f>0.04+0.08+0.08+0.08</f>
        <v>0.28000000000000003</v>
      </c>
      <c r="L106" s="22">
        <v>24800</v>
      </c>
      <c r="M106" s="32">
        <f t="shared" si="0"/>
        <v>354.71999999999997</v>
      </c>
      <c r="N106" s="16">
        <f t="shared" si="1"/>
        <v>25</v>
      </c>
      <c r="O106" s="17">
        <f>IF(J106="","",M106/L106)</f>
        <v>1.4303225806451611E-2</v>
      </c>
      <c r="P106" s="18">
        <f>IF(O106="","",(O106/(N106)*365))</f>
        <v>0.20882709677419353</v>
      </c>
      <c r="Q106" s="19" t="s">
        <v>71</v>
      </c>
    </row>
    <row r="107" spans="1:17" ht="28" x14ac:dyDescent="0.15">
      <c r="A107" s="23" t="s">
        <v>29</v>
      </c>
      <c r="B107" s="3">
        <v>45866</v>
      </c>
      <c r="C107" s="3">
        <v>45884</v>
      </c>
      <c r="D107" s="3">
        <v>45884</v>
      </c>
      <c r="E107" s="3" t="s">
        <v>38</v>
      </c>
      <c r="F107" s="23" t="s">
        <v>25</v>
      </c>
      <c r="G107" s="24">
        <v>165</v>
      </c>
      <c r="H107" s="1">
        <v>1</v>
      </c>
      <c r="I107" s="6">
        <f>0.58+3.5+1</f>
        <v>5.08</v>
      </c>
      <c r="J107" s="6">
        <v>0.01</v>
      </c>
      <c r="K107" s="5">
        <f>0.04+0.08+0.08</f>
        <v>0.2</v>
      </c>
      <c r="L107" s="24">
        <v>14500</v>
      </c>
      <c r="M107" s="31">
        <f t="shared" si="0"/>
        <v>506.80000000000007</v>
      </c>
      <c r="N107" s="7">
        <f t="shared" si="1"/>
        <v>18</v>
      </c>
      <c r="O107" s="8">
        <f>IF(J107="","",M107/L107)</f>
        <v>3.4951724137931038E-2</v>
      </c>
      <c r="P107" s="9">
        <f>IF(O107="","",(O107/(N107)*365))</f>
        <v>0.70874329501915712</v>
      </c>
      <c r="Q107" s="10" t="s">
        <v>72</v>
      </c>
    </row>
    <row r="108" spans="1:17" ht="42" x14ac:dyDescent="0.15">
      <c r="A108" s="21" t="s">
        <v>29</v>
      </c>
      <c r="B108" s="20">
        <v>45869</v>
      </c>
      <c r="C108" s="20">
        <v>46101</v>
      </c>
      <c r="D108" s="20">
        <v>46027</v>
      </c>
      <c r="E108" s="20" t="s">
        <v>68</v>
      </c>
      <c r="F108" s="21" t="s">
        <v>27</v>
      </c>
      <c r="G108" s="22">
        <v>122.5</v>
      </c>
      <c r="H108" s="11">
        <v>5</v>
      </c>
      <c r="I108" s="15">
        <f>0.1+4.801+4.174+2.35</f>
        <v>11.424999999999999</v>
      </c>
      <c r="J108" s="15">
        <v>0.38</v>
      </c>
      <c r="K108" s="14">
        <v>0.06</v>
      </c>
      <c r="L108" s="22">
        <v>16250</v>
      </c>
      <c r="M108" s="32">
        <f t="shared" si="0"/>
        <v>5522.1999999999989</v>
      </c>
      <c r="N108" s="16">
        <f t="shared" si="1"/>
        <v>158</v>
      </c>
      <c r="O108" s="17">
        <f>IF(J108="","",M108/L108)</f>
        <v>0.33982769230769222</v>
      </c>
      <c r="P108" s="18">
        <f>IF(O108="","",(O108/(N108)*365))</f>
        <v>0.7850449853943523</v>
      </c>
      <c r="Q108" s="19" t="s">
        <v>73</v>
      </c>
    </row>
    <row r="109" spans="1:17" ht="14" x14ac:dyDescent="0.15">
      <c r="A109" s="21" t="s">
        <v>29</v>
      </c>
      <c r="B109" s="20">
        <v>45869</v>
      </c>
      <c r="C109" s="20">
        <v>45736</v>
      </c>
      <c r="D109" s="20">
        <v>46024</v>
      </c>
      <c r="E109" s="20" t="s">
        <v>68</v>
      </c>
      <c r="F109" s="21" t="s">
        <v>27</v>
      </c>
      <c r="G109" s="22">
        <v>122.5</v>
      </c>
      <c r="H109" s="11">
        <v>5</v>
      </c>
      <c r="I109" s="15">
        <v>11.43</v>
      </c>
      <c r="J109" s="15">
        <v>0.54</v>
      </c>
      <c r="K109" s="14">
        <v>0.06</v>
      </c>
      <c r="L109" s="22">
        <v>16250</v>
      </c>
      <c r="M109" s="32">
        <f t="shared" ref="M109" si="5">IF(J109="","",IF(A109="SELL",(I109-J109-K109/100)*H109*100, IF(A109="BUY",(J109-I109-K109/100)*H109*100, IF(A109="ASS",(J109-I109-K109/100)*H109*100,IF(A109="ASSIGNED",(J109-I109-K109/100)*H109*100, IF(A109="SDI",((J109-I109)*H109)-(K109), IF(A109="","")))))))</f>
        <v>5444.7000000000007</v>
      </c>
      <c r="N109" s="16">
        <f t="shared" ref="N109" si="6">IF(D109="","",(IF(D109-B109&lt;1,"1",D109-B109)))</f>
        <v>155</v>
      </c>
      <c r="O109" s="17">
        <f>IF(J109="","",M109/L109)</f>
        <v>0.33505846153846158</v>
      </c>
      <c r="P109" s="18">
        <f>IF(O109="","",(O109/(N109)*365))</f>
        <v>0.78900863523573206</v>
      </c>
      <c r="Q109" s="19" t="s">
        <v>70</v>
      </c>
    </row>
    <row r="110" spans="1:17" x14ac:dyDescent="0.15">
      <c r="A110" s="23" t="s">
        <v>23</v>
      </c>
      <c r="B110" s="3">
        <v>45877</v>
      </c>
      <c r="C110" s="3">
        <v>45947</v>
      </c>
      <c r="D110" s="3">
        <v>45888</v>
      </c>
      <c r="E110" s="3" t="s">
        <v>60</v>
      </c>
      <c r="F110" s="23" t="s">
        <v>27</v>
      </c>
      <c r="G110" s="24">
        <v>95</v>
      </c>
      <c r="H110" s="1">
        <v>5</v>
      </c>
      <c r="I110" s="6">
        <v>4.5599999999999996</v>
      </c>
      <c r="J110" s="6">
        <v>5.13</v>
      </c>
      <c r="K110" s="5">
        <f>0.2+0.21</f>
        <v>0.41000000000000003</v>
      </c>
      <c r="L110" s="24">
        <v>1510</v>
      </c>
      <c r="M110" s="31">
        <f t="shared" si="0"/>
        <v>282.9500000000001</v>
      </c>
      <c r="N110" s="7">
        <f t="shared" si="1"/>
        <v>11</v>
      </c>
      <c r="O110" s="8">
        <f>IF(J110="","",M110/L110)</f>
        <v>0.18738410596026497</v>
      </c>
      <c r="P110" s="9">
        <f>IF(O110="","",(O110/(N110)*365))</f>
        <v>6.2177453341360645</v>
      </c>
      <c r="Q110" s="10"/>
    </row>
    <row r="111" spans="1:17" x14ac:dyDescent="0.15">
      <c r="A111" s="21" t="s">
        <v>29</v>
      </c>
      <c r="B111" s="20">
        <v>45877</v>
      </c>
      <c r="C111" s="20">
        <v>45947</v>
      </c>
      <c r="D111" s="20">
        <v>45888</v>
      </c>
      <c r="E111" s="20" t="s">
        <v>60</v>
      </c>
      <c r="F111" s="21" t="s">
        <v>27</v>
      </c>
      <c r="G111" s="22">
        <v>105</v>
      </c>
      <c r="H111" s="11">
        <v>5</v>
      </c>
      <c r="I111" s="15">
        <v>1.54</v>
      </c>
      <c r="J111" s="15">
        <v>1.73</v>
      </c>
      <c r="K111" s="14">
        <f>0.2+0.21</f>
        <v>0.41000000000000003</v>
      </c>
      <c r="L111" s="22">
        <v>1510</v>
      </c>
      <c r="M111" s="32">
        <f t="shared" si="0"/>
        <v>-97.049999999999969</v>
      </c>
      <c r="N111" s="16">
        <f t="shared" si="1"/>
        <v>11</v>
      </c>
      <c r="O111" s="17">
        <f>IF(J111="","",M111/L111)</f>
        <v>-6.4271523178807924E-2</v>
      </c>
      <c r="P111" s="18">
        <f>IF(O111="","",(O111/(N111)*365))</f>
        <v>-2.1326459963877173</v>
      </c>
      <c r="Q111" s="19"/>
    </row>
    <row r="112" spans="1:17" x14ac:dyDescent="0.15">
      <c r="A112" s="23" t="s">
        <v>29</v>
      </c>
      <c r="B112" s="3">
        <v>45880</v>
      </c>
      <c r="C112" s="3">
        <v>45884</v>
      </c>
      <c r="D112" s="3">
        <v>45884</v>
      </c>
      <c r="E112" s="3" t="s">
        <v>74</v>
      </c>
      <c r="F112" s="23" t="s">
        <v>25</v>
      </c>
      <c r="G112" s="24">
        <v>145</v>
      </c>
      <c r="H112" s="1">
        <v>1</v>
      </c>
      <c r="I112" s="6">
        <v>0.75</v>
      </c>
      <c r="J112" s="6">
        <v>0</v>
      </c>
      <c r="K112" s="5">
        <f>0.04</f>
        <v>0.04</v>
      </c>
      <c r="L112" s="24">
        <v>14500</v>
      </c>
      <c r="M112" s="31">
        <f t="shared" si="0"/>
        <v>74.960000000000008</v>
      </c>
      <c r="N112" s="7">
        <f t="shared" si="1"/>
        <v>4</v>
      </c>
      <c r="O112" s="8">
        <f>IF(J112="","",M112/L112)</f>
        <v>5.1696551724137937E-3</v>
      </c>
      <c r="P112" s="9">
        <f>IF(O112="","",(O112/(N112)*365))</f>
        <v>0.47173103448275866</v>
      </c>
      <c r="Q112" s="10"/>
    </row>
    <row r="113" spans="1:17" x14ac:dyDescent="0.15">
      <c r="A113" s="21" t="s">
        <v>29</v>
      </c>
      <c r="B113" s="20">
        <v>45882</v>
      </c>
      <c r="C113" s="20">
        <v>45884</v>
      </c>
      <c r="D113" s="20">
        <v>45884</v>
      </c>
      <c r="E113" s="20" t="s">
        <v>24</v>
      </c>
      <c r="F113" s="21" t="s">
        <v>25</v>
      </c>
      <c r="G113" s="22">
        <v>177.5</v>
      </c>
      <c r="H113" s="11">
        <v>1</v>
      </c>
      <c r="I113" s="15">
        <v>1.25</v>
      </c>
      <c r="J113" s="15">
        <v>0.01</v>
      </c>
      <c r="K113" s="14">
        <f>0.04</f>
        <v>0.04</v>
      </c>
      <c r="L113" s="22">
        <v>17800</v>
      </c>
      <c r="M113" s="32">
        <f t="shared" si="0"/>
        <v>123.96000000000001</v>
      </c>
      <c r="N113" s="16">
        <f t="shared" si="1"/>
        <v>2</v>
      </c>
      <c r="O113" s="17">
        <f>IF(J113="","",M113/L113)</f>
        <v>6.9640449438202251E-3</v>
      </c>
      <c r="P113" s="18">
        <f>IF(O113="","",(O113/(N113)*365))</f>
        <v>1.2709382022471911</v>
      </c>
      <c r="Q113" s="19"/>
    </row>
    <row r="114" spans="1:17" x14ac:dyDescent="0.15">
      <c r="A114" s="23" t="s">
        <v>23</v>
      </c>
      <c r="B114" s="3">
        <v>45884</v>
      </c>
      <c r="C114" s="3">
        <v>45947</v>
      </c>
      <c r="D114" s="3">
        <v>45929</v>
      </c>
      <c r="E114" s="3" t="s">
        <v>26</v>
      </c>
      <c r="F114" s="23" t="s">
        <v>27</v>
      </c>
      <c r="G114" s="24">
        <v>240</v>
      </c>
      <c r="H114" s="1">
        <v>1</v>
      </c>
      <c r="I114" s="6">
        <v>70</v>
      </c>
      <c r="J114" s="6">
        <v>89.5</v>
      </c>
      <c r="K114" s="5">
        <f>0.04</f>
        <v>0.04</v>
      </c>
      <c r="L114" s="24">
        <v>7000</v>
      </c>
      <c r="M114" s="31">
        <f t="shared" si="0"/>
        <v>1949.96</v>
      </c>
      <c r="N114" s="7">
        <f t="shared" si="1"/>
        <v>45</v>
      </c>
      <c r="O114" s="8">
        <f>IF(J114="","",M114/L114)</f>
        <v>0.27856571428571431</v>
      </c>
      <c r="P114" s="9">
        <f>IF(O114="","",(O114/(N114)*365))</f>
        <v>2.2594774603174606</v>
      </c>
      <c r="Q114" s="10"/>
    </row>
    <row r="115" spans="1:17" ht="42" x14ac:dyDescent="0.15">
      <c r="A115" s="21" t="s">
        <v>29</v>
      </c>
      <c r="B115" s="20">
        <v>45884</v>
      </c>
      <c r="C115" s="20">
        <v>45954</v>
      </c>
      <c r="D115" s="20">
        <v>45929</v>
      </c>
      <c r="E115" s="20" t="s">
        <v>26</v>
      </c>
      <c r="F115" s="21" t="s">
        <v>27</v>
      </c>
      <c r="G115" s="22">
        <v>335</v>
      </c>
      <c r="H115" s="11">
        <v>1</v>
      </c>
      <c r="I115" s="15">
        <f>5.4+3.31+2.5-1.1-1-0.35</f>
        <v>8.7600000000000016</v>
      </c>
      <c r="J115" s="15">
        <v>11.65</v>
      </c>
      <c r="K115" s="14">
        <f>0.04+0.08+0.08+0.08+0.08</f>
        <v>0.36000000000000004</v>
      </c>
      <c r="L115" s="22">
        <v>7000</v>
      </c>
      <c r="M115" s="32">
        <f t="shared" si="0"/>
        <v>-289.3599999999999</v>
      </c>
      <c r="N115" s="16">
        <f t="shared" si="1"/>
        <v>45</v>
      </c>
      <c r="O115" s="17">
        <f>IF(J115="","",M115/L115)</f>
        <v>-4.1337142857142843E-2</v>
      </c>
      <c r="P115" s="18">
        <f>IF(O115="","",(O115/(N115)*365))</f>
        <v>-0.33529015873015861</v>
      </c>
      <c r="Q115" s="19" t="s">
        <v>75</v>
      </c>
    </row>
    <row r="116" spans="1:17" x14ac:dyDescent="0.15">
      <c r="A116" s="23" t="s">
        <v>23</v>
      </c>
      <c r="B116" s="3">
        <v>45884</v>
      </c>
      <c r="C116" s="3">
        <v>46038</v>
      </c>
      <c r="D116" s="3">
        <v>45888</v>
      </c>
      <c r="E116" s="3" t="s">
        <v>76</v>
      </c>
      <c r="F116" s="23" t="s">
        <v>27</v>
      </c>
      <c r="G116" s="24">
        <v>16</v>
      </c>
      <c r="H116" s="1">
        <v>5</v>
      </c>
      <c r="I116" s="6">
        <v>9.5</v>
      </c>
      <c r="J116" s="6">
        <v>9.6</v>
      </c>
      <c r="K116" s="5">
        <f>0.2+0.21</f>
        <v>0.41000000000000003</v>
      </c>
      <c r="L116" s="24">
        <v>4750</v>
      </c>
      <c r="M116" s="31">
        <f t="shared" si="0"/>
        <v>47.949999999999818</v>
      </c>
      <c r="N116" s="7">
        <f t="shared" si="1"/>
        <v>4</v>
      </c>
      <c r="O116" s="8">
        <f>IF(J116="","",M116/L116)</f>
        <v>1.0094736842105224E-2</v>
      </c>
      <c r="P116" s="9">
        <f>IF(O116="","",(O116/(N116)*365))</f>
        <v>0.92114473684210174</v>
      </c>
      <c r="Q116" s="10"/>
    </row>
    <row r="117" spans="1:17" x14ac:dyDescent="0.15">
      <c r="A117" s="21" t="s">
        <v>29</v>
      </c>
      <c r="B117" s="20">
        <v>45884</v>
      </c>
      <c r="C117" s="20">
        <v>45898</v>
      </c>
      <c r="D117" s="20">
        <v>45888</v>
      </c>
      <c r="E117" s="20" t="s">
        <v>76</v>
      </c>
      <c r="F117" s="21" t="s">
        <v>27</v>
      </c>
      <c r="G117" s="22">
        <v>27</v>
      </c>
      <c r="H117" s="11">
        <v>5</v>
      </c>
      <c r="I117" s="15">
        <v>0.55000000000000004</v>
      </c>
      <c r="J117" s="15">
        <v>0.6</v>
      </c>
      <c r="K117" s="14">
        <f>0.2</f>
        <v>0.2</v>
      </c>
      <c r="L117" s="22">
        <v>4750</v>
      </c>
      <c r="M117" s="32">
        <f t="shared" si="0"/>
        <v>-25.999999999999968</v>
      </c>
      <c r="N117" s="16">
        <f t="shared" si="1"/>
        <v>4</v>
      </c>
      <c r="O117" s="17">
        <f>IF(J117="","",M117/L117)</f>
        <v>-5.4736842105263094E-3</v>
      </c>
      <c r="P117" s="18">
        <f>IF(O117="","",(O117/(N117)*365))</f>
        <v>-0.49947368421052574</v>
      </c>
      <c r="Q117" s="19"/>
    </row>
    <row r="118" spans="1:17" x14ac:dyDescent="0.15">
      <c r="A118" s="23" t="s">
        <v>29</v>
      </c>
      <c r="B118" s="3">
        <v>45884</v>
      </c>
      <c r="C118" s="3">
        <v>45891</v>
      </c>
      <c r="D118" s="3">
        <v>45891</v>
      </c>
      <c r="E118" s="3" t="s">
        <v>24</v>
      </c>
      <c r="F118" s="23" t="s">
        <v>25</v>
      </c>
      <c r="G118" s="24">
        <v>175</v>
      </c>
      <c r="H118" s="1">
        <v>1</v>
      </c>
      <c r="I118" s="6">
        <v>1.35</v>
      </c>
      <c r="J118" s="6">
        <v>0.11</v>
      </c>
      <c r="K118" s="5">
        <f>0.04</f>
        <v>0.04</v>
      </c>
      <c r="L118" s="24">
        <v>17500</v>
      </c>
      <c r="M118" s="31">
        <f t="shared" si="0"/>
        <v>123.96000000000001</v>
      </c>
      <c r="N118" s="7">
        <f t="shared" si="1"/>
        <v>7</v>
      </c>
      <c r="O118" s="8">
        <f>IF(J118="","",M118/L118)</f>
        <v>7.0834285714285721E-3</v>
      </c>
      <c r="P118" s="9">
        <f>IF(O118="","",(O118/(N118)*365))</f>
        <v>0.36935020408163266</v>
      </c>
      <c r="Q118" s="10"/>
    </row>
    <row r="119" spans="1:17" x14ac:dyDescent="0.15">
      <c r="A119" s="21" t="s">
        <v>29</v>
      </c>
      <c r="B119" s="20">
        <v>45887</v>
      </c>
      <c r="C119" s="20">
        <v>45891</v>
      </c>
      <c r="D119" s="20">
        <v>45891</v>
      </c>
      <c r="E119" s="20" t="s">
        <v>38</v>
      </c>
      <c r="F119" s="21" t="s">
        <v>25</v>
      </c>
      <c r="G119" s="22">
        <v>160</v>
      </c>
      <c r="H119" s="11">
        <v>1</v>
      </c>
      <c r="I119" s="15">
        <v>0.45</v>
      </c>
      <c r="J119" s="15">
        <v>0.7</v>
      </c>
      <c r="K119" s="14">
        <f>0.04+0.04</f>
        <v>0.08</v>
      </c>
      <c r="L119" s="22">
        <v>16000</v>
      </c>
      <c r="M119" s="32">
        <f t="shared" si="0"/>
        <v>-25.08</v>
      </c>
      <c r="N119" s="16">
        <f>IF(D119="","",(IF(D119-B119&lt;1,"1",D119-B119)))</f>
        <v>4</v>
      </c>
      <c r="O119" s="17">
        <f>IF(J119="","",M119/L119)</f>
        <v>-1.5674999999999999E-3</v>
      </c>
      <c r="P119" s="18">
        <f>IF(O119="","",(O119/(N119)*365))</f>
        <v>-0.14303437499999999</v>
      </c>
      <c r="Q119" s="19"/>
    </row>
    <row r="120" spans="1:17" x14ac:dyDescent="0.15">
      <c r="A120" s="23" t="s">
        <v>29</v>
      </c>
      <c r="B120" s="3">
        <v>45887</v>
      </c>
      <c r="C120" s="3">
        <v>45891</v>
      </c>
      <c r="D120" s="3">
        <v>45891</v>
      </c>
      <c r="E120" s="3" t="s">
        <v>38</v>
      </c>
      <c r="F120" s="23" t="s">
        <v>25</v>
      </c>
      <c r="G120" s="24">
        <v>160</v>
      </c>
      <c r="H120" s="1">
        <v>2</v>
      </c>
      <c r="I120" s="6">
        <v>0.45</v>
      </c>
      <c r="J120" s="6">
        <v>0</v>
      </c>
      <c r="K120" s="5">
        <f>0.04+0.04</f>
        <v>0.08</v>
      </c>
      <c r="L120" s="24">
        <v>16000</v>
      </c>
      <c r="M120" s="31">
        <f t="shared" si="0"/>
        <v>89.84</v>
      </c>
      <c r="N120" s="7">
        <f>IF(D120="","",(IF(D120-B120&lt;1,"1",D120-B120)))</f>
        <v>4</v>
      </c>
      <c r="O120" s="8">
        <f>IF(J120="","",M120/L120)</f>
        <v>5.6150000000000002E-3</v>
      </c>
      <c r="P120" s="9">
        <f>IF(O120="","",(O120/(N120)*365))</f>
        <v>0.51236875000000004</v>
      </c>
      <c r="Q120" s="10"/>
    </row>
    <row r="121" spans="1:17" x14ac:dyDescent="0.15">
      <c r="A121" s="21" t="s">
        <v>31</v>
      </c>
      <c r="B121" s="20">
        <v>45891</v>
      </c>
      <c r="C121" s="20">
        <v>45891</v>
      </c>
      <c r="D121" s="20">
        <v>45912</v>
      </c>
      <c r="E121" s="20" t="s">
        <v>38</v>
      </c>
      <c r="F121" s="21" t="s">
        <v>32</v>
      </c>
      <c r="G121" s="22">
        <v>160</v>
      </c>
      <c r="H121" s="11">
        <v>2</v>
      </c>
      <c r="I121" s="15">
        <v>160</v>
      </c>
      <c r="J121" s="15">
        <v>167.5</v>
      </c>
      <c r="K121" s="14">
        <v>0</v>
      </c>
      <c r="L121" s="22">
        <v>33500</v>
      </c>
      <c r="M121" s="32">
        <f t="shared" si="0"/>
        <v>1500</v>
      </c>
      <c r="N121" s="16">
        <f t="shared" si="1"/>
        <v>21</v>
      </c>
      <c r="O121" s="17">
        <f>IF(J121="","",M121/L121)</f>
        <v>4.4776119402985072E-2</v>
      </c>
      <c r="P121" s="18">
        <f>IF(O121="","",(O121/(N121)*365))</f>
        <v>0.7782515991471215</v>
      </c>
      <c r="Q121" s="19"/>
    </row>
    <row r="122" spans="1:17" x14ac:dyDescent="0.15">
      <c r="A122" s="23" t="s">
        <v>29</v>
      </c>
      <c r="B122" s="3">
        <v>45894</v>
      </c>
      <c r="C122" s="3">
        <v>45898</v>
      </c>
      <c r="D122" s="3">
        <v>45898</v>
      </c>
      <c r="E122" s="3" t="s">
        <v>24</v>
      </c>
      <c r="F122" s="23" t="s">
        <v>25</v>
      </c>
      <c r="G122" s="24">
        <v>160</v>
      </c>
      <c r="H122" s="1">
        <v>2</v>
      </c>
      <c r="I122" s="6">
        <v>1</v>
      </c>
      <c r="J122" s="6">
        <v>0</v>
      </c>
      <c r="K122" s="5">
        <v>0.08</v>
      </c>
      <c r="L122" s="24">
        <v>16000</v>
      </c>
      <c r="M122" s="31">
        <f t="shared" si="0"/>
        <v>199.84</v>
      </c>
      <c r="N122" s="7">
        <f t="shared" si="1"/>
        <v>4</v>
      </c>
      <c r="O122" s="8">
        <f>IF(J122="","",M122/L122)</f>
        <v>1.2489999999999999E-2</v>
      </c>
      <c r="P122" s="9">
        <f>IF(O122="","",(O122/(N122)*365))</f>
        <v>1.1397124999999999</v>
      </c>
      <c r="Q122" s="10"/>
    </row>
    <row r="123" spans="1:17" x14ac:dyDescent="0.15">
      <c r="A123" s="21" t="s">
        <v>29</v>
      </c>
      <c r="B123" s="20">
        <v>45894</v>
      </c>
      <c r="C123" s="20">
        <v>45898</v>
      </c>
      <c r="D123" s="20">
        <v>45898</v>
      </c>
      <c r="E123" s="20" t="s">
        <v>38</v>
      </c>
      <c r="F123" s="21" t="s">
        <v>27</v>
      </c>
      <c r="G123" s="22">
        <v>170</v>
      </c>
      <c r="H123" s="11">
        <v>2</v>
      </c>
      <c r="I123" s="15">
        <v>0.35</v>
      </c>
      <c r="J123" s="15">
        <v>0</v>
      </c>
      <c r="K123" s="14">
        <v>0.08</v>
      </c>
      <c r="L123" s="22">
        <v>16000</v>
      </c>
      <c r="M123" s="32">
        <f t="shared" si="0"/>
        <v>69.839999999999989</v>
      </c>
      <c r="N123" s="16">
        <f t="shared" si="1"/>
        <v>4</v>
      </c>
      <c r="O123" s="17">
        <f>IF(J123="","",M123/L123)</f>
        <v>4.3649999999999991E-3</v>
      </c>
      <c r="P123" s="18">
        <f>IF(O123="","",(O123/(N123)*365))</f>
        <v>0.39830624999999992</v>
      </c>
      <c r="Q123" s="19"/>
    </row>
    <row r="124" spans="1:17" x14ac:dyDescent="0.15">
      <c r="A124" s="23" t="s">
        <v>23</v>
      </c>
      <c r="B124" s="3">
        <v>45902</v>
      </c>
      <c r="C124" s="3">
        <v>45905</v>
      </c>
      <c r="D124" s="3">
        <v>45902</v>
      </c>
      <c r="E124" s="3" t="s">
        <v>38</v>
      </c>
      <c r="F124" s="23" t="s">
        <v>27</v>
      </c>
      <c r="G124" s="24">
        <v>165</v>
      </c>
      <c r="H124" s="1">
        <v>2</v>
      </c>
      <c r="I124" s="6">
        <v>0.51</v>
      </c>
      <c r="J124" s="6">
        <v>0.53</v>
      </c>
      <c r="K124" s="5">
        <f>0.08+0.08</f>
        <v>0.16</v>
      </c>
      <c r="L124" s="24">
        <v>100</v>
      </c>
      <c r="M124" s="31">
        <f t="shared" si="0"/>
        <v>3.6800000000000033</v>
      </c>
      <c r="N124" s="7" t="str">
        <f t="shared" si="1"/>
        <v>1</v>
      </c>
      <c r="O124" s="8">
        <f>IF(J124="","",M124/L124)</f>
        <v>3.6800000000000034E-2</v>
      </c>
      <c r="P124" s="9">
        <f>IF(O124="","",(O124/(N124)*365))</f>
        <v>13.432000000000013</v>
      </c>
      <c r="Q124" s="10"/>
    </row>
    <row r="125" spans="1:17" x14ac:dyDescent="0.15">
      <c r="A125" s="21" t="s">
        <v>29</v>
      </c>
      <c r="B125" s="20">
        <v>45902</v>
      </c>
      <c r="C125" s="20">
        <v>45905</v>
      </c>
      <c r="D125" s="20">
        <v>45905</v>
      </c>
      <c r="E125" s="20" t="s">
        <v>38</v>
      </c>
      <c r="F125" s="21" t="s">
        <v>27</v>
      </c>
      <c r="G125" s="22">
        <v>165</v>
      </c>
      <c r="H125" s="11">
        <v>2</v>
      </c>
      <c r="I125" s="15">
        <v>0.65</v>
      </c>
      <c r="J125" s="15">
        <v>0</v>
      </c>
      <c r="K125" s="14">
        <f>0.08</f>
        <v>0.08</v>
      </c>
      <c r="L125" s="22">
        <v>16000</v>
      </c>
      <c r="M125" s="32">
        <f t="shared" si="0"/>
        <v>129.84</v>
      </c>
      <c r="N125" s="16">
        <f t="shared" si="1"/>
        <v>3</v>
      </c>
      <c r="O125" s="17">
        <f>IF(J125="","",M125/L125)</f>
        <v>8.1150000000000007E-3</v>
      </c>
      <c r="P125" s="18">
        <f>IF(O125="","",(O125/(N125)*365))</f>
        <v>0.98732500000000012</v>
      </c>
      <c r="Q125" s="19"/>
    </row>
    <row r="126" spans="1:17" x14ac:dyDescent="0.15">
      <c r="A126" s="23" t="s">
        <v>29</v>
      </c>
      <c r="B126" s="3">
        <v>45902</v>
      </c>
      <c r="C126" s="3">
        <v>45912</v>
      </c>
      <c r="D126" s="3">
        <v>45912</v>
      </c>
      <c r="E126" s="3" t="s">
        <v>24</v>
      </c>
      <c r="F126" s="23" t="s">
        <v>25</v>
      </c>
      <c r="G126" s="24">
        <v>155</v>
      </c>
      <c r="H126" s="1">
        <v>2</v>
      </c>
      <c r="I126" s="6">
        <v>0.7</v>
      </c>
      <c r="J126" s="6">
        <v>0</v>
      </c>
      <c r="K126" s="5">
        <f>0.08</f>
        <v>0.08</v>
      </c>
      <c r="L126" s="24">
        <v>15500</v>
      </c>
      <c r="M126" s="31">
        <f t="shared" si="0"/>
        <v>139.83999999999997</v>
      </c>
      <c r="N126" s="7">
        <f t="shared" si="1"/>
        <v>10</v>
      </c>
      <c r="O126" s="8">
        <f>IF(J126="","",M126/L126)</f>
        <v>9.0219354838709659E-3</v>
      </c>
      <c r="P126" s="9">
        <f>IF(O126="","",(O126/(N126)*365))</f>
        <v>0.32930064516129026</v>
      </c>
      <c r="Q126" s="10"/>
    </row>
    <row r="127" spans="1:17" x14ac:dyDescent="0.15">
      <c r="A127" s="21" t="s">
        <v>29</v>
      </c>
      <c r="B127" s="20">
        <v>45902</v>
      </c>
      <c r="C127" s="20">
        <v>45912</v>
      </c>
      <c r="D127" s="20">
        <v>45912</v>
      </c>
      <c r="E127" s="20" t="s">
        <v>77</v>
      </c>
      <c r="F127" s="21" t="s">
        <v>25</v>
      </c>
      <c r="G127" s="22">
        <v>212.5</v>
      </c>
      <c r="H127" s="11">
        <v>1</v>
      </c>
      <c r="I127" s="15">
        <v>0.85</v>
      </c>
      <c r="J127" s="15">
        <v>0.01</v>
      </c>
      <c r="K127" s="14">
        <f>0.08</f>
        <v>0.08</v>
      </c>
      <c r="L127" s="22">
        <v>21250</v>
      </c>
      <c r="M127" s="32">
        <f t="shared" si="0"/>
        <v>83.919999999999987</v>
      </c>
      <c r="N127" s="16">
        <f t="shared" si="1"/>
        <v>10</v>
      </c>
      <c r="O127" s="17">
        <f>IF(J127="","",M127/L127)</f>
        <v>3.9491764705882346E-3</v>
      </c>
      <c r="P127" s="18">
        <f>IF(O127="","",(O127/(N127)*365))</f>
        <v>0.14414494117647056</v>
      </c>
      <c r="Q127" s="19"/>
    </row>
    <row r="128" spans="1:17" ht="42" x14ac:dyDescent="0.15">
      <c r="A128" s="23" t="s">
        <v>29</v>
      </c>
      <c r="B128" s="3">
        <v>45904</v>
      </c>
      <c r="C128" s="3">
        <v>46101</v>
      </c>
      <c r="D128" s="3"/>
      <c r="E128" s="3" t="s">
        <v>26</v>
      </c>
      <c r="F128" s="23" t="s">
        <v>27</v>
      </c>
      <c r="G128" s="24">
        <v>450</v>
      </c>
      <c r="H128" s="1">
        <v>1</v>
      </c>
      <c r="I128" s="6">
        <f>6.5+2.05+0.6+9.5-0.1+0.15</f>
        <v>18.699999999999996</v>
      </c>
      <c r="J128" s="6"/>
      <c r="K128" s="5">
        <f>0.08+0.04+0.08</f>
        <v>0.2</v>
      </c>
      <c r="L128" s="24">
        <v>24800</v>
      </c>
      <c r="M128" s="31" t="str">
        <f t="shared" si="0"/>
        <v/>
      </c>
      <c r="N128" s="7" t="str">
        <f t="shared" si="1"/>
        <v/>
      </c>
      <c r="O128" s="8" t="str">
        <f>IF(J128="","",M128/L128)</f>
        <v/>
      </c>
      <c r="P128" s="9" t="str">
        <f>IF(O128="","",(O128/(N128)*365))</f>
        <v/>
      </c>
      <c r="Q128" s="10" t="s">
        <v>78</v>
      </c>
    </row>
    <row r="129" spans="1:17" x14ac:dyDescent="0.15">
      <c r="A129" s="21" t="s">
        <v>23</v>
      </c>
      <c r="B129" s="20">
        <v>45908</v>
      </c>
      <c r="C129" s="20">
        <v>45912</v>
      </c>
      <c r="D129" s="20">
        <v>45908</v>
      </c>
      <c r="E129" s="20" t="s">
        <v>38</v>
      </c>
      <c r="F129" s="21" t="s">
        <v>27</v>
      </c>
      <c r="G129" s="22">
        <v>167.5</v>
      </c>
      <c r="H129" s="11">
        <v>2</v>
      </c>
      <c r="I129" s="15">
        <v>0.76</v>
      </c>
      <c r="J129" s="15">
        <v>0.73499999999999999</v>
      </c>
      <c r="K129" s="14">
        <f>0.16</f>
        <v>0.16</v>
      </c>
      <c r="L129" s="22">
        <v>152</v>
      </c>
      <c r="M129" s="32">
        <f t="shared" si="0"/>
        <v>-5.3200000000000047</v>
      </c>
      <c r="N129" s="16" t="str">
        <f t="shared" si="1"/>
        <v>1</v>
      </c>
      <c r="O129" s="17">
        <f>IF(J129="","",M129/L129)</f>
        <v>-3.5000000000000031E-2</v>
      </c>
      <c r="P129" s="18">
        <f>IF(O129="","",(O129/(N129)*365))</f>
        <v>-12.775000000000011</v>
      </c>
      <c r="Q129" s="19"/>
    </row>
    <row r="130" spans="1:17" x14ac:dyDescent="0.15">
      <c r="A130" s="23" t="s">
        <v>29</v>
      </c>
      <c r="B130" s="3">
        <v>45908</v>
      </c>
      <c r="C130" s="3">
        <v>45912</v>
      </c>
      <c r="D130" s="3">
        <v>45912</v>
      </c>
      <c r="E130" s="3" t="s">
        <v>38</v>
      </c>
      <c r="F130" s="23" t="s">
        <v>27</v>
      </c>
      <c r="G130" s="24">
        <v>167.5</v>
      </c>
      <c r="H130" s="1">
        <v>2</v>
      </c>
      <c r="I130" s="6">
        <v>0.8</v>
      </c>
      <c r="J130" s="6">
        <v>0</v>
      </c>
      <c r="K130" s="5">
        <f>0.08</f>
        <v>0.08</v>
      </c>
      <c r="L130" s="24">
        <f>2*G130*100</f>
        <v>33500</v>
      </c>
      <c r="M130" s="31">
        <f t="shared" si="0"/>
        <v>159.84</v>
      </c>
      <c r="N130" s="7">
        <f t="shared" si="1"/>
        <v>4</v>
      </c>
      <c r="O130" s="8">
        <f>IF(J130="","",M130/L130)</f>
        <v>4.77134328358209E-3</v>
      </c>
      <c r="P130" s="9">
        <f>IF(O130="","",(O130/(N130)*365))</f>
        <v>0.43538507462686571</v>
      </c>
      <c r="Q130" s="10"/>
    </row>
    <row r="131" spans="1:17" x14ac:dyDescent="0.15">
      <c r="A131" s="21" t="s">
        <v>29</v>
      </c>
      <c r="B131" s="20">
        <v>45912</v>
      </c>
      <c r="C131" s="20">
        <v>45919</v>
      </c>
      <c r="D131" s="20">
        <v>45919</v>
      </c>
      <c r="E131" s="20" t="s">
        <v>38</v>
      </c>
      <c r="F131" s="21" t="s">
        <v>25</v>
      </c>
      <c r="G131" s="22">
        <v>160</v>
      </c>
      <c r="H131" s="11">
        <v>2</v>
      </c>
      <c r="I131" s="15">
        <v>1</v>
      </c>
      <c r="J131" s="15">
        <v>0</v>
      </c>
      <c r="K131" s="14">
        <f>0.08</f>
        <v>0.08</v>
      </c>
      <c r="L131" s="22">
        <v>32000</v>
      </c>
      <c r="M131" s="32">
        <f t="shared" si="0"/>
        <v>199.84</v>
      </c>
      <c r="N131" s="16">
        <f t="shared" si="1"/>
        <v>7</v>
      </c>
      <c r="O131" s="17">
        <f>IF(J131="","",M131/L131)</f>
        <v>6.2449999999999997E-3</v>
      </c>
      <c r="P131" s="18">
        <f>IF(O131="","",(O131/(N131)*365))</f>
        <v>0.32563214285714281</v>
      </c>
      <c r="Q131" s="19"/>
    </row>
    <row r="132" spans="1:17" x14ac:dyDescent="0.15">
      <c r="A132" s="23" t="s">
        <v>29</v>
      </c>
      <c r="B132" s="3">
        <v>45905</v>
      </c>
      <c r="C132" s="3">
        <v>45912</v>
      </c>
      <c r="D132" s="3">
        <v>45912</v>
      </c>
      <c r="E132" s="3" t="s">
        <v>26</v>
      </c>
      <c r="F132" s="23" t="s">
        <v>25</v>
      </c>
      <c r="G132" s="24">
        <v>310</v>
      </c>
      <c r="H132" s="1">
        <v>1</v>
      </c>
      <c r="I132" s="6">
        <v>0.6</v>
      </c>
      <c r="J132" s="6">
        <v>0</v>
      </c>
      <c r="K132" s="5">
        <f>0.04</f>
        <v>0.04</v>
      </c>
      <c r="L132" s="24">
        <v>31000</v>
      </c>
      <c r="M132" s="31">
        <f t="shared" si="0"/>
        <v>59.96</v>
      </c>
      <c r="N132" s="7">
        <f t="shared" si="1"/>
        <v>7</v>
      </c>
      <c r="O132" s="8">
        <f>IF(J132="","",M132/L132)</f>
        <v>1.9341935483870969E-3</v>
      </c>
      <c r="P132" s="9">
        <f>IF(O132="","",(O132/(N132)*365))</f>
        <v>0.10085437788018434</v>
      </c>
      <c r="Q132" s="10"/>
    </row>
    <row r="133" spans="1:17" x14ac:dyDescent="0.15">
      <c r="A133" s="21" t="s">
        <v>29</v>
      </c>
      <c r="B133" s="20">
        <v>45936</v>
      </c>
      <c r="C133" s="20">
        <v>45940</v>
      </c>
      <c r="D133" s="20">
        <v>45940</v>
      </c>
      <c r="E133" s="20" t="s">
        <v>77</v>
      </c>
      <c r="F133" s="21" t="s">
        <v>25</v>
      </c>
      <c r="G133" s="22">
        <v>210</v>
      </c>
      <c r="H133" s="11">
        <v>1</v>
      </c>
      <c r="I133" s="15">
        <v>1</v>
      </c>
      <c r="J133" s="15">
        <v>0</v>
      </c>
      <c r="K133" s="14">
        <v>0.04</v>
      </c>
      <c r="L133" s="22">
        <v>21000</v>
      </c>
      <c r="M133" s="32">
        <f t="shared" si="0"/>
        <v>99.960000000000008</v>
      </c>
      <c r="N133" s="16">
        <f t="shared" si="1"/>
        <v>4</v>
      </c>
      <c r="O133" s="17">
        <f>IF(J133="","",M133/L133)</f>
        <v>4.7600000000000003E-3</v>
      </c>
      <c r="P133" s="18">
        <f>IF(O133="","",(O133/(N133)*365))</f>
        <v>0.43435000000000001</v>
      </c>
      <c r="Q133" s="19"/>
    </row>
    <row r="134" spans="1:17" x14ac:dyDescent="0.15">
      <c r="A134" s="23" t="s">
        <v>29</v>
      </c>
      <c r="B134" s="3">
        <v>45936</v>
      </c>
      <c r="C134" s="3">
        <v>45940</v>
      </c>
      <c r="D134" s="3">
        <v>45940</v>
      </c>
      <c r="E134" s="3" t="s">
        <v>24</v>
      </c>
      <c r="F134" s="23" t="s">
        <v>25</v>
      </c>
      <c r="G134" s="24">
        <v>170</v>
      </c>
      <c r="H134" s="1">
        <v>2</v>
      </c>
      <c r="I134" s="6">
        <v>0.5</v>
      </c>
      <c r="J134" s="6">
        <v>0</v>
      </c>
      <c r="K134" s="5">
        <v>0.04</v>
      </c>
      <c r="L134" s="24">
        <v>34000</v>
      </c>
      <c r="M134" s="31">
        <f t="shared" si="0"/>
        <v>99.92</v>
      </c>
      <c r="N134" s="7">
        <f t="shared" si="1"/>
        <v>4</v>
      </c>
      <c r="O134" s="8">
        <f>IF(J134="","",M134/L134)</f>
        <v>2.9388235294117646E-3</v>
      </c>
      <c r="P134" s="9">
        <f>IF(O134="","",(O134/(N134)*365))</f>
        <v>0.26816764705882351</v>
      </c>
      <c r="Q134" s="10"/>
    </row>
    <row r="135" spans="1:17" x14ac:dyDescent="0.15">
      <c r="A135" s="21" t="s">
        <v>29</v>
      </c>
      <c r="B135" s="20">
        <v>45940</v>
      </c>
      <c r="C135" s="20">
        <v>45947</v>
      </c>
      <c r="D135" s="20">
        <v>45947</v>
      </c>
      <c r="E135" s="20" t="s">
        <v>35</v>
      </c>
      <c r="F135" s="21" t="s">
        <v>25</v>
      </c>
      <c r="G135" s="22">
        <v>230</v>
      </c>
      <c r="H135" s="11">
        <v>1</v>
      </c>
      <c r="I135" s="15">
        <v>0.93</v>
      </c>
      <c r="J135" s="15">
        <v>0.01</v>
      </c>
      <c r="K135" s="14">
        <f>0.04</f>
        <v>0.04</v>
      </c>
      <c r="L135" s="22">
        <v>23000</v>
      </c>
      <c r="M135" s="32">
        <f t="shared" si="0"/>
        <v>91.960000000000008</v>
      </c>
      <c r="N135" s="16">
        <f t="shared" si="1"/>
        <v>7</v>
      </c>
      <c r="O135" s="17">
        <f>IF(J135="","",M135/L135)</f>
        <v>3.9982608695652176E-3</v>
      </c>
      <c r="P135" s="18">
        <f>IF(O135="","",(O135/(N135)*365))</f>
        <v>0.20848074534161493</v>
      </c>
      <c r="Q135" s="19"/>
    </row>
    <row r="136" spans="1:17" x14ac:dyDescent="0.15">
      <c r="A136" s="23" t="s">
        <v>29</v>
      </c>
      <c r="B136" s="3">
        <v>45940</v>
      </c>
      <c r="C136" s="3">
        <v>45947</v>
      </c>
      <c r="D136" s="3">
        <v>45947</v>
      </c>
      <c r="E136" s="3" t="s">
        <v>38</v>
      </c>
      <c r="F136" s="23" t="s">
        <v>25</v>
      </c>
      <c r="G136" s="24">
        <v>170</v>
      </c>
      <c r="H136" s="1">
        <v>1</v>
      </c>
      <c r="I136" s="6">
        <v>1.2</v>
      </c>
      <c r="J136" s="6">
        <v>0.01</v>
      </c>
      <c r="K136" s="5">
        <f>0.04</f>
        <v>0.04</v>
      </c>
      <c r="L136" s="24">
        <v>17000</v>
      </c>
      <c r="M136" s="31">
        <f t="shared" si="0"/>
        <v>118.96</v>
      </c>
      <c r="N136" s="7">
        <f t="shared" si="1"/>
        <v>7</v>
      </c>
      <c r="O136" s="8">
        <f>IF(J136="","",M136/L136)</f>
        <v>6.9976470588235294E-3</v>
      </c>
      <c r="P136" s="9">
        <f>IF(O136="","",(O136/(N136)*365))</f>
        <v>0.36487731092436976</v>
      </c>
      <c r="Q136" s="10"/>
    </row>
    <row r="137" spans="1:17" x14ac:dyDescent="0.15">
      <c r="A137" s="21" t="s">
        <v>29</v>
      </c>
      <c r="B137" s="20">
        <v>45940</v>
      </c>
      <c r="C137" s="20">
        <v>45947</v>
      </c>
      <c r="D137" s="20">
        <v>45947</v>
      </c>
      <c r="E137" s="20" t="s">
        <v>26</v>
      </c>
      <c r="F137" s="21" t="s">
        <v>25</v>
      </c>
      <c r="G137" s="22">
        <v>315</v>
      </c>
      <c r="H137" s="11">
        <v>1</v>
      </c>
      <c r="I137" s="15">
        <v>1.7</v>
      </c>
      <c r="J137" s="15">
        <v>0.01</v>
      </c>
      <c r="K137" s="14">
        <f>0.04</f>
        <v>0.04</v>
      </c>
      <c r="L137" s="22">
        <v>31500</v>
      </c>
      <c r="M137" s="32">
        <f t="shared" si="0"/>
        <v>168.96</v>
      </c>
      <c r="N137" s="16">
        <f t="shared" si="1"/>
        <v>7</v>
      </c>
      <c r="O137" s="17">
        <f>IF(J137="","",M137/L137)</f>
        <v>5.3638095238095242E-3</v>
      </c>
      <c r="P137" s="18">
        <f>IF(O137="","",(O137/(N137)*365))</f>
        <v>0.27968435374149658</v>
      </c>
      <c r="Q137" s="19"/>
    </row>
    <row r="138" spans="1:17" x14ac:dyDescent="0.15">
      <c r="A138" s="23" t="s">
        <v>29</v>
      </c>
      <c r="B138" s="3">
        <v>45950</v>
      </c>
      <c r="C138" s="3">
        <v>45954</v>
      </c>
      <c r="D138" s="3">
        <v>45951</v>
      </c>
      <c r="E138" s="3" t="s">
        <v>79</v>
      </c>
      <c r="F138" s="23" t="s">
        <v>25</v>
      </c>
      <c r="G138" s="24">
        <v>235</v>
      </c>
      <c r="H138" s="1">
        <v>2</v>
      </c>
      <c r="I138" s="6">
        <v>4</v>
      </c>
      <c r="J138" s="6">
        <v>3.6</v>
      </c>
      <c r="K138" s="5">
        <f>0.16</f>
        <v>0.16</v>
      </c>
      <c r="L138" s="24">
        <v>47000</v>
      </c>
      <c r="M138" s="31">
        <f t="shared" si="0"/>
        <v>79.679999999999978</v>
      </c>
      <c r="N138" s="7">
        <f t="shared" si="1"/>
        <v>1</v>
      </c>
      <c r="O138" s="8">
        <f>IF(J138="","",M138/L138)</f>
        <v>1.6953191489361699E-3</v>
      </c>
      <c r="P138" s="9">
        <f>IF(O138="","",(O138/(N138)*365))</f>
        <v>0.61879148936170203</v>
      </c>
      <c r="Q138" s="10"/>
    </row>
    <row r="139" spans="1:17" x14ac:dyDescent="0.15">
      <c r="A139" s="21" t="s">
        <v>29</v>
      </c>
      <c r="B139" s="20">
        <v>45952</v>
      </c>
      <c r="C139" s="20">
        <v>45954</v>
      </c>
      <c r="D139" s="20">
        <v>45954</v>
      </c>
      <c r="E139" s="20" t="s">
        <v>79</v>
      </c>
      <c r="F139" s="21" t="s">
        <v>25</v>
      </c>
      <c r="G139" s="22">
        <v>222.5</v>
      </c>
      <c r="H139" s="11">
        <v>2</v>
      </c>
      <c r="I139" s="15">
        <v>2.5</v>
      </c>
      <c r="J139" s="15">
        <v>0.01</v>
      </c>
      <c r="K139" s="14">
        <v>0.16</v>
      </c>
      <c r="L139" s="22">
        <v>45000</v>
      </c>
      <c r="M139" s="32">
        <f t="shared" si="0"/>
        <v>497.68000000000006</v>
      </c>
      <c r="N139" s="16">
        <f t="shared" si="1"/>
        <v>2</v>
      </c>
      <c r="O139" s="17">
        <f>IF(J139="","",M139/L139)</f>
        <v>1.1059555555555557E-2</v>
      </c>
      <c r="P139" s="18">
        <f>IF(O139="","",(O139/(N139)*365))</f>
        <v>2.0183688888888893</v>
      </c>
      <c r="Q139" s="19"/>
    </row>
    <row r="140" spans="1:17" ht="14" x14ac:dyDescent="0.15">
      <c r="A140" s="23" t="s">
        <v>29</v>
      </c>
      <c r="B140" s="3">
        <v>45957</v>
      </c>
      <c r="C140" s="3">
        <v>45968</v>
      </c>
      <c r="D140" s="3">
        <v>45975</v>
      </c>
      <c r="E140" s="3" t="s">
        <v>79</v>
      </c>
      <c r="F140" s="23" t="s">
        <v>25</v>
      </c>
      <c r="G140" s="24">
        <v>235</v>
      </c>
      <c r="H140" s="1">
        <v>2</v>
      </c>
      <c r="I140" s="6">
        <f>1.75+3</f>
        <v>4.75</v>
      </c>
      <c r="J140" s="6">
        <v>5.12</v>
      </c>
      <c r="K140" s="5">
        <f>0.08+0.16</f>
        <v>0.24</v>
      </c>
      <c r="L140" s="24">
        <v>48000</v>
      </c>
      <c r="M140" s="31">
        <f t="shared" si="0"/>
        <v>-74.480000000000018</v>
      </c>
      <c r="N140" s="7">
        <f t="shared" si="1"/>
        <v>18</v>
      </c>
      <c r="O140" s="8">
        <f>IF(J140="","",M140/L140)</f>
        <v>-1.5516666666666671E-3</v>
      </c>
      <c r="P140" s="9">
        <f>IF(O140="","",(O140/(N140)*365))</f>
        <v>-3.1464351851851861E-2</v>
      </c>
      <c r="Q140" s="19" t="s">
        <v>80</v>
      </c>
    </row>
    <row r="141" spans="1:17" ht="14" x14ac:dyDescent="0.15">
      <c r="A141" s="21" t="s">
        <v>29</v>
      </c>
      <c r="B141" s="20">
        <v>45958</v>
      </c>
      <c r="C141" s="3">
        <v>45968</v>
      </c>
      <c r="D141" s="20">
        <v>45975</v>
      </c>
      <c r="E141" s="20" t="s">
        <v>38</v>
      </c>
      <c r="F141" s="21" t="s">
        <v>25</v>
      </c>
      <c r="G141" s="22">
        <v>170</v>
      </c>
      <c r="H141" s="11">
        <v>3</v>
      </c>
      <c r="I141" s="15">
        <f>0.7+1.5</f>
        <v>2.2000000000000002</v>
      </c>
      <c r="J141" s="15">
        <v>1.24</v>
      </c>
      <c r="K141" s="14">
        <f>0.12+0.24</f>
        <v>0.36</v>
      </c>
      <c r="L141" s="22">
        <v>52500</v>
      </c>
      <c r="M141" s="32">
        <f t="shared" si="0"/>
        <v>286.92</v>
      </c>
      <c r="N141" s="16">
        <f t="shared" si="1"/>
        <v>17</v>
      </c>
      <c r="O141" s="17">
        <f>IF(J141="","",M141/L141)</f>
        <v>5.4651428571428576E-3</v>
      </c>
      <c r="P141" s="18">
        <f>IF(O141="","",(O141/(N141)*365))</f>
        <v>0.11733983193277311</v>
      </c>
      <c r="Q141" s="19" t="s">
        <v>81</v>
      </c>
    </row>
    <row r="142" spans="1:17" ht="14" x14ac:dyDescent="0.15">
      <c r="A142" s="23" t="s">
        <v>29</v>
      </c>
      <c r="B142" s="3">
        <v>45960</v>
      </c>
      <c r="C142" s="3">
        <v>45968</v>
      </c>
      <c r="D142" s="3">
        <v>45975</v>
      </c>
      <c r="E142" s="3" t="s">
        <v>82</v>
      </c>
      <c r="F142" s="23" t="s">
        <v>25</v>
      </c>
      <c r="G142" s="24">
        <v>205</v>
      </c>
      <c r="H142" s="1">
        <v>1</v>
      </c>
      <c r="I142" s="6">
        <v>0.8</v>
      </c>
      <c r="J142" s="6">
        <v>0.01</v>
      </c>
      <c r="K142" s="5">
        <f>0.04+0.08+0.04</f>
        <v>0.16</v>
      </c>
      <c r="L142" s="24">
        <v>21500</v>
      </c>
      <c r="M142" s="31">
        <f t="shared" si="0"/>
        <v>78.84</v>
      </c>
      <c r="N142" s="7">
        <f t="shared" si="1"/>
        <v>15</v>
      </c>
      <c r="O142" s="8">
        <f>IF(J142="","",M142/L142)</f>
        <v>3.6669767441860467E-3</v>
      </c>
      <c r="P142" s="9">
        <f>IF(O142="","",(O142/(N142)*365))</f>
        <v>8.9229767441860466E-2</v>
      </c>
      <c r="Q142" s="10" t="s">
        <v>83</v>
      </c>
    </row>
    <row r="143" spans="1:17" x14ac:dyDescent="0.15">
      <c r="A143" s="21" t="s">
        <v>23</v>
      </c>
      <c r="B143" s="20">
        <v>45961</v>
      </c>
      <c r="C143" s="20">
        <v>46038</v>
      </c>
      <c r="D143" s="20">
        <v>46014</v>
      </c>
      <c r="E143" s="20" t="s">
        <v>84</v>
      </c>
      <c r="F143" s="21" t="s">
        <v>27</v>
      </c>
      <c r="G143" s="22">
        <v>480</v>
      </c>
      <c r="H143" s="11">
        <v>1</v>
      </c>
      <c r="I143" s="15">
        <v>190</v>
      </c>
      <c r="J143" s="15">
        <v>191.2</v>
      </c>
      <c r="K143" s="14">
        <f>0.04+0.04</f>
        <v>0.08</v>
      </c>
      <c r="L143" s="22">
        <v>19000</v>
      </c>
      <c r="M143" s="32">
        <f t="shared" si="0"/>
        <v>119.91999999999888</v>
      </c>
      <c r="N143" s="16">
        <f t="shared" si="1"/>
        <v>53</v>
      </c>
      <c r="O143" s="17">
        <f>IF(J143="","",M143/L143)</f>
        <v>6.3115789473683617E-3</v>
      </c>
      <c r="P143" s="18">
        <f>IF(O143="","",(O143/(N143)*365))</f>
        <v>4.3466534260178338E-2</v>
      </c>
      <c r="Q143" s="19"/>
    </row>
    <row r="144" spans="1:17" x14ac:dyDescent="0.15">
      <c r="A144" s="23" t="s">
        <v>29</v>
      </c>
      <c r="B144" s="3">
        <v>45964</v>
      </c>
      <c r="C144" s="3">
        <v>45996</v>
      </c>
      <c r="D144" s="3">
        <v>45996</v>
      </c>
      <c r="E144" s="3" t="s">
        <v>84</v>
      </c>
      <c r="F144" s="23" t="s">
        <v>27</v>
      </c>
      <c r="G144" s="24">
        <v>710</v>
      </c>
      <c r="H144" s="1">
        <v>1</v>
      </c>
      <c r="I144" s="6">
        <v>10.5</v>
      </c>
      <c r="J144" s="6">
        <v>0.01</v>
      </c>
      <c r="K144" s="5">
        <f>0.04</f>
        <v>0.04</v>
      </c>
      <c r="L144" s="24">
        <v>19000</v>
      </c>
      <c r="M144" s="31">
        <f t="shared" si="0"/>
        <v>1048.96</v>
      </c>
      <c r="N144" s="7">
        <f t="shared" si="1"/>
        <v>32</v>
      </c>
      <c r="O144" s="8">
        <f>IF(J144="","",M144/L144)</f>
        <v>5.520842105263158E-2</v>
      </c>
      <c r="P144" s="9">
        <f>IF(O144="","",(O144/(N144)*365))</f>
        <v>0.62972105263157896</v>
      </c>
      <c r="Q144" s="10"/>
    </row>
    <row r="145" spans="1:17" x14ac:dyDescent="0.15">
      <c r="A145" s="21" t="s">
        <v>29</v>
      </c>
      <c r="B145" s="20">
        <v>45971</v>
      </c>
      <c r="C145" s="20">
        <v>45975</v>
      </c>
      <c r="D145" s="20">
        <v>45973</v>
      </c>
      <c r="E145" s="20" t="s">
        <v>79</v>
      </c>
      <c r="F145" s="21" t="s">
        <v>25</v>
      </c>
      <c r="G145" s="22">
        <v>230</v>
      </c>
      <c r="H145" s="11">
        <v>3</v>
      </c>
      <c r="I145" s="15">
        <v>2.2999999999999998</v>
      </c>
      <c r="J145" s="15">
        <v>0.15</v>
      </c>
      <c r="K145" s="14">
        <f>0.12+0.12</f>
        <v>0.24</v>
      </c>
      <c r="L145" s="22">
        <v>69000</v>
      </c>
      <c r="M145" s="32">
        <f t="shared" si="0"/>
        <v>644.28</v>
      </c>
      <c r="N145" s="16">
        <f t="shared" si="1"/>
        <v>2</v>
      </c>
      <c r="O145" s="17">
        <f>IF(J145="","",M145/L145)</f>
        <v>9.3373913043478252E-3</v>
      </c>
      <c r="P145" s="18">
        <f>IF(O145="","",(O145/(N145)*365))</f>
        <v>1.7040739130434781</v>
      </c>
      <c r="Q145" s="19"/>
    </row>
    <row r="146" spans="1:17" x14ac:dyDescent="0.15">
      <c r="A146" s="23" t="s">
        <v>29</v>
      </c>
      <c r="B146" s="3">
        <v>45972</v>
      </c>
      <c r="C146" s="3">
        <v>45975</v>
      </c>
      <c r="D146" s="3">
        <v>45972</v>
      </c>
      <c r="E146" s="3" t="s">
        <v>24</v>
      </c>
      <c r="F146" s="23" t="s">
        <v>25</v>
      </c>
      <c r="G146" s="24">
        <v>180</v>
      </c>
      <c r="H146" s="1">
        <v>2</v>
      </c>
      <c r="I146" s="6">
        <v>0.5</v>
      </c>
      <c r="J146" s="6">
        <v>0.46</v>
      </c>
      <c r="K146" s="5">
        <f>0.08+0.08</f>
        <v>0.16</v>
      </c>
      <c r="L146" s="24">
        <v>36000</v>
      </c>
      <c r="M146" s="31">
        <f t="shared" si="0"/>
        <v>7.6799999999999962</v>
      </c>
      <c r="N146" s="7" t="str">
        <f t="shared" si="1"/>
        <v>1</v>
      </c>
      <c r="O146" s="8">
        <f>IF(J146="","",M146/L146)</f>
        <v>2.1333333333333322E-4</v>
      </c>
      <c r="P146" s="9">
        <f>IF(O146="","",(O146/(N146)*365))</f>
        <v>7.7866666666666626E-2</v>
      </c>
      <c r="Q146" s="10"/>
    </row>
    <row r="147" spans="1:17" x14ac:dyDescent="0.15">
      <c r="A147" s="21" t="s">
        <v>29</v>
      </c>
      <c r="B147" s="20">
        <v>45972</v>
      </c>
      <c r="C147" s="20">
        <v>45975</v>
      </c>
      <c r="D147" s="20">
        <v>45975</v>
      </c>
      <c r="E147" s="20" t="s">
        <v>38</v>
      </c>
      <c r="F147" s="21" t="s">
        <v>25</v>
      </c>
      <c r="G147" s="22">
        <v>175</v>
      </c>
      <c r="H147" s="11">
        <v>2</v>
      </c>
      <c r="I147" s="15">
        <v>0.55000000000000004</v>
      </c>
      <c r="J147" s="15">
        <v>0</v>
      </c>
      <c r="K147" s="14">
        <f>0.08</f>
        <v>0.08</v>
      </c>
      <c r="L147" s="22">
        <v>35000</v>
      </c>
      <c r="M147" s="32">
        <f t="shared" si="0"/>
        <v>109.84</v>
      </c>
      <c r="N147" s="16">
        <f t="shared" si="1"/>
        <v>3</v>
      </c>
      <c r="O147" s="17">
        <f>IF(J147="","",M147/L147)</f>
        <v>3.1382857142857145E-3</v>
      </c>
      <c r="P147" s="18">
        <f>IF(O147="","",(O147/(N147)*365))</f>
        <v>0.38182476190476189</v>
      </c>
      <c r="Q147" s="19"/>
    </row>
    <row r="148" spans="1:17" x14ac:dyDescent="0.15">
      <c r="A148" s="23" t="s">
        <v>29</v>
      </c>
      <c r="B148" s="3">
        <v>45972</v>
      </c>
      <c r="C148" s="3">
        <v>45972</v>
      </c>
      <c r="D148" s="3">
        <v>45975</v>
      </c>
      <c r="E148" s="3" t="s">
        <v>82</v>
      </c>
      <c r="F148" s="23" t="s">
        <v>25</v>
      </c>
      <c r="G148" s="24">
        <v>225</v>
      </c>
      <c r="H148" s="1">
        <v>1</v>
      </c>
      <c r="I148" s="6">
        <v>1.05</v>
      </c>
      <c r="J148" s="6">
        <v>0.01</v>
      </c>
      <c r="K148" s="5">
        <f>0.08</f>
        <v>0.08</v>
      </c>
      <c r="L148" s="24">
        <v>22500</v>
      </c>
      <c r="M148" s="31">
        <f t="shared" si="0"/>
        <v>103.92000000000002</v>
      </c>
      <c r="N148" s="7">
        <f t="shared" si="1"/>
        <v>3</v>
      </c>
      <c r="O148" s="8">
        <f>IF(J148="","",M148/L148)</f>
        <v>4.6186666666666676E-3</v>
      </c>
      <c r="P148" s="9">
        <f>IF(O148="","",(O148/(N148)*365))</f>
        <v>0.56193777777777787</v>
      </c>
      <c r="Q148" s="10"/>
    </row>
    <row r="149" spans="1:17" x14ac:dyDescent="0.15">
      <c r="A149" s="21" t="s">
        <v>29</v>
      </c>
      <c r="B149" s="20">
        <v>45972</v>
      </c>
      <c r="C149" s="20">
        <v>45975</v>
      </c>
      <c r="D149" s="20">
        <v>45973</v>
      </c>
      <c r="E149" s="20" t="s">
        <v>59</v>
      </c>
      <c r="F149" s="21" t="s">
        <v>25</v>
      </c>
      <c r="G149" s="22">
        <v>125</v>
      </c>
      <c r="H149" s="11">
        <v>1</v>
      </c>
      <c r="I149" s="15">
        <v>1</v>
      </c>
      <c r="J149" s="15">
        <v>0.9</v>
      </c>
      <c r="K149" s="14">
        <f>0.08</f>
        <v>0.08</v>
      </c>
      <c r="L149" s="22">
        <v>12500</v>
      </c>
      <c r="M149" s="32">
        <f t="shared" si="0"/>
        <v>9.9199999999999982</v>
      </c>
      <c r="N149" s="16">
        <f t="shared" si="1"/>
        <v>1</v>
      </c>
      <c r="O149" s="17">
        <f>IF(J149="","",M149/L149)</f>
        <v>7.9359999999999988E-4</v>
      </c>
      <c r="P149" s="18">
        <f>IF(O149="","",(O149/(N149)*365))</f>
        <v>0.28966399999999998</v>
      </c>
      <c r="Q149" s="19"/>
    </row>
    <row r="150" spans="1:17" x14ac:dyDescent="0.15">
      <c r="A150" s="23" t="s">
        <v>31</v>
      </c>
      <c r="B150" s="3">
        <v>45975</v>
      </c>
      <c r="C150" s="3">
        <v>45975</v>
      </c>
      <c r="D150" s="3">
        <v>46009</v>
      </c>
      <c r="E150" s="3" t="s">
        <v>38</v>
      </c>
      <c r="F150" s="23" t="s">
        <v>32</v>
      </c>
      <c r="G150" s="24">
        <v>175</v>
      </c>
      <c r="H150" s="1">
        <v>2</v>
      </c>
      <c r="I150" s="6">
        <v>175</v>
      </c>
      <c r="J150" s="6">
        <v>183</v>
      </c>
      <c r="K150" s="5">
        <v>0.03</v>
      </c>
      <c r="L150" s="24">
        <v>35000</v>
      </c>
      <c r="M150" s="31">
        <f t="shared" si="0"/>
        <v>1599.94</v>
      </c>
      <c r="N150" s="7">
        <f t="shared" si="1"/>
        <v>34</v>
      </c>
      <c r="O150" s="8">
        <f>IF(J150="","",M150/L150)</f>
        <v>4.5712571428571429E-2</v>
      </c>
      <c r="P150" s="9">
        <f>IF(O150="","",(O150/(N150)*365))</f>
        <v>0.49073789915966382</v>
      </c>
      <c r="Q150" s="10"/>
    </row>
    <row r="151" spans="1:17" x14ac:dyDescent="0.15">
      <c r="A151" s="21" t="s">
        <v>29</v>
      </c>
      <c r="B151" s="20">
        <v>45978</v>
      </c>
      <c r="C151" s="20">
        <v>45982</v>
      </c>
      <c r="D151" s="20">
        <v>45978</v>
      </c>
      <c r="E151" s="20" t="s">
        <v>24</v>
      </c>
      <c r="F151" s="21" t="s">
        <v>25</v>
      </c>
      <c r="G151" s="22">
        <v>175</v>
      </c>
      <c r="H151" s="11">
        <v>2</v>
      </c>
      <c r="I151" s="15">
        <v>2.5099999999999998</v>
      </c>
      <c r="J151" s="15">
        <v>2.11</v>
      </c>
      <c r="K151" s="14">
        <f>0.16</f>
        <v>0.16</v>
      </c>
      <c r="L151" s="22">
        <v>35000</v>
      </c>
      <c r="M151" s="32">
        <f t="shared" si="0"/>
        <v>79.679999999999978</v>
      </c>
      <c r="N151" s="16" t="str">
        <f t="shared" si="1"/>
        <v>1</v>
      </c>
      <c r="O151" s="17">
        <f>IF(J151="","",M151/L151)</f>
        <v>2.2765714285714281E-3</v>
      </c>
      <c r="P151" s="18">
        <f>IF(O151="","",(O151/(N151)*365))</f>
        <v>0.83094857142857126</v>
      </c>
      <c r="Q151" s="19"/>
    </row>
    <row r="152" spans="1:17" x14ac:dyDescent="0.15">
      <c r="A152" s="23" t="s">
        <v>29</v>
      </c>
      <c r="B152" s="3">
        <v>45978</v>
      </c>
      <c r="C152" s="3">
        <v>45982</v>
      </c>
      <c r="D152" s="3">
        <v>45978</v>
      </c>
      <c r="E152" s="3" t="s">
        <v>79</v>
      </c>
      <c r="F152" s="23" t="s">
        <v>25</v>
      </c>
      <c r="G152" s="24">
        <v>227.5</v>
      </c>
      <c r="H152" s="1">
        <v>2</v>
      </c>
      <c r="I152" s="6">
        <v>2.57</v>
      </c>
      <c r="J152" s="6">
        <v>1.57</v>
      </c>
      <c r="K152" s="5">
        <f>0.16</f>
        <v>0.16</v>
      </c>
      <c r="L152" s="24">
        <v>45500</v>
      </c>
      <c r="M152" s="31">
        <f t="shared" si="0"/>
        <v>199.67999999999995</v>
      </c>
      <c r="N152" s="7" t="str">
        <f t="shared" si="1"/>
        <v>1</v>
      </c>
      <c r="O152" s="8">
        <f>IF(J152="","",M152/L152)</f>
        <v>4.3885714285714274E-3</v>
      </c>
      <c r="P152" s="9">
        <f>IF(O152="","",(O152/(N152)*365))</f>
        <v>1.6018285714285709</v>
      </c>
      <c r="Q152" s="10"/>
    </row>
    <row r="153" spans="1:17" x14ac:dyDescent="0.15">
      <c r="A153" s="21" t="s">
        <v>29</v>
      </c>
      <c r="B153" s="20">
        <v>45978</v>
      </c>
      <c r="C153" s="20">
        <v>45989</v>
      </c>
      <c r="D153" s="20">
        <v>45989</v>
      </c>
      <c r="E153" s="20" t="s">
        <v>38</v>
      </c>
      <c r="F153" s="21" t="s">
        <v>27</v>
      </c>
      <c r="G153" s="22">
        <v>185</v>
      </c>
      <c r="H153" s="11">
        <v>2</v>
      </c>
      <c r="I153" s="15">
        <v>2.2599999999999998</v>
      </c>
      <c r="J153" s="15">
        <v>0</v>
      </c>
      <c r="K153" s="14">
        <v>0.08</v>
      </c>
      <c r="L153" s="22">
        <v>37000</v>
      </c>
      <c r="M153" s="32">
        <f t="shared" si="0"/>
        <v>451.84</v>
      </c>
      <c r="N153" s="16">
        <f t="shared" si="1"/>
        <v>11</v>
      </c>
      <c r="O153" s="17">
        <f>IF(J153="","",M153/L153)</f>
        <v>1.2211891891891891E-2</v>
      </c>
      <c r="P153" s="18">
        <f>IF(O153="","",(O153/(N153)*365))</f>
        <v>0.40521277641277637</v>
      </c>
      <c r="Q153" s="19"/>
    </row>
    <row r="154" spans="1:17" x14ac:dyDescent="0.15">
      <c r="A154" s="23" t="s">
        <v>29</v>
      </c>
      <c r="B154" s="3">
        <v>45978</v>
      </c>
      <c r="C154" s="3">
        <v>45982</v>
      </c>
      <c r="D154" s="3">
        <v>45980</v>
      </c>
      <c r="E154" s="3" t="s">
        <v>24</v>
      </c>
      <c r="F154" s="23" t="s">
        <v>25</v>
      </c>
      <c r="G154" s="24">
        <v>170</v>
      </c>
      <c r="H154" s="1">
        <v>2</v>
      </c>
      <c r="I154" s="6">
        <v>1.4</v>
      </c>
      <c r="J154" s="6">
        <v>1.1499999999999999</v>
      </c>
      <c r="K154" s="5">
        <v>0.16</v>
      </c>
      <c r="L154" s="24">
        <v>34000</v>
      </c>
      <c r="M154" s="31">
        <f t="shared" si="0"/>
        <v>49.68</v>
      </c>
      <c r="N154" s="7">
        <f t="shared" si="1"/>
        <v>2</v>
      </c>
      <c r="O154" s="8">
        <f>IF(J154="","",M154/L154)</f>
        <v>1.4611764705882353E-3</v>
      </c>
      <c r="P154" s="9">
        <f>IF(O154="","",(O154/(N154)*365))</f>
        <v>0.26666470588235291</v>
      </c>
      <c r="Q154" s="10"/>
    </row>
    <row r="155" spans="1:17" x14ac:dyDescent="0.15">
      <c r="A155" s="21" t="s">
        <v>29</v>
      </c>
      <c r="B155" s="20">
        <v>45978</v>
      </c>
      <c r="C155" s="20">
        <v>45982</v>
      </c>
      <c r="D155" s="20">
        <v>45981</v>
      </c>
      <c r="E155" s="20" t="s">
        <v>79</v>
      </c>
      <c r="F155" s="21" t="s">
        <v>25</v>
      </c>
      <c r="G155" s="22">
        <v>220</v>
      </c>
      <c r="H155" s="11">
        <v>2</v>
      </c>
      <c r="I155" s="15">
        <v>1</v>
      </c>
      <c r="J155" s="15">
        <v>0.95</v>
      </c>
      <c r="K155" s="14">
        <v>0.16</v>
      </c>
      <c r="L155" s="22">
        <v>44000</v>
      </c>
      <c r="M155" s="32">
        <f t="shared" si="0"/>
        <v>9.6800000000000086</v>
      </c>
      <c r="N155" s="16">
        <f t="shared" si="1"/>
        <v>3</v>
      </c>
      <c r="O155" s="17">
        <f>IF(J155="","",M155/L155)</f>
        <v>2.200000000000002E-4</v>
      </c>
      <c r="P155" s="18">
        <f>IF(O155="","",(O155/(N155)*365))</f>
        <v>2.6766666666666692E-2</v>
      </c>
      <c r="Q155" s="19"/>
    </row>
    <row r="156" spans="1:17" x14ac:dyDescent="0.15">
      <c r="A156" s="23" t="s">
        <v>29</v>
      </c>
      <c r="B156" s="3">
        <v>45978</v>
      </c>
      <c r="C156" s="3">
        <v>45982</v>
      </c>
      <c r="D156" s="3">
        <v>45982</v>
      </c>
      <c r="E156" s="3" t="s">
        <v>82</v>
      </c>
      <c r="F156" s="23" t="s">
        <v>25</v>
      </c>
      <c r="G156" s="24">
        <v>225</v>
      </c>
      <c r="H156" s="1">
        <v>1</v>
      </c>
      <c r="I156" s="6">
        <v>1.7</v>
      </c>
      <c r="J156" s="6">
        <v>20</v>
      </c>
      <c r="K156" s="5">
        <v>0.08</v>
      </c>
      <c r="L156" s="24">
        <v>22500</v>
      </c>
      <c r="M156" s="31">
        <f t="shared" si="0"/>
        <v>-1830.0800000000002</v>
      </c>
      <c r="N156" s="7">
        <f t="shared" si="1"/>
        <v>4</v>
      </c>
      <c r="O156" s="8">
        <f>IF(J156="","",M156/L156)</f>
        <v>-8.1336888888888889E-2</v>
      </c>
      <c r="P156" s="9">
        <f>IF(O156="","",(O156/(N156)*365))</f>
        <v>-7.4219911111111108</v>
      </c>
      <c r="Q156" s="10"/>
    </row>
    <row r="157" spans="1:17" x14ac:dyDescent="0.15">
      <c r="A157" s="21" t="s">
        <v>29</v>
      </c>
      <c r="B157" s="20">
        <v>45981</v>
      </c>
      <c r="C157" s="20">
        <v>45982</v>
      </c>
      <c r="D157" s="20">
        <v>45982</v>
      </c>
      <c r="E157" s="20" t="s">
        <v>82</v>
      </c>
      <c r="F157" s="21" t="s">
        <v>25</v>
      </c>
      <c r="G157" s="22">
        <v>200</v>
      </c>
      <c r="H157" s="11">
        <v>1</v>
      </c>
      <c r="I157" s="15">
        <v>3.25</v>
      </c>
      <c r="J157" s="15">
        <v>2.64</v>
      </c>
      <c r="K157" s="14">
        <v>0.08</v>
      </c>
      <c r="L157" s="22">
        <v>20000</v>
      </c>
      <c r="M157" s="32">
        <f t="shared" si="0"/>
        <v>60.919999999999987</v>
      </c>
      <c r="N157" s="16">
        <f t="shared" si="1"/>
        <v>1</v>
      </c>
      <c r="O157" s="17">
        <f>IF(J157="","",M157/L157)</f>
        <v>3.0459999999999992E-3</v>
      </c>
      <c r="P157" s="18">
        <f>IF(O157="","",(O157/(N157)*365))</f>
        <v>1.1117899999999996</v>
      </c>
      <c r="Q157" s="19"/>
    </row>
    <row r="158" spans="1:17" x14ac:dyDescent="0.15">
      <c r="A158" s="23" t="s">
        <v>29</v>
      </c>
      <c r="B158" s="3">
        <v>45982</v>
      </c>
      <c r="C158" s="3">
        <v>45989</v>
      </c>
      <c r="D158" s="3">
        <v>45982</v>
      </c>
      <c r="E158" s="3" t="s">
        <v>79</v>
      </c>
      <c r="F158" s="23" t="s">
        <v>25</v>
      </c>
      <c r="G158" s="24">
        <v>182.5</v>
      </c>
      <c r="H158" s="1">
        <v>2</v>
      </c>
      <c r="I158" s="6">
        <v>1.25</v>
      </c>
      <c r="J158" s="6">
        <v>1</v>
      </c>
      <c r="K158" s="5">
        <v>0.16</v>
      </c>
      <c r="L158" s="24">
        <v>36500</v>
      </c>
      <c r="M158" s="31">
        <f t="shared" si="0"/>
        <v>49.68</v>
      </c>
      <c r="N158" s="7" t="str">
        <f t="shared" si="1"/>
        <v>1</v>
      </c>
      <c r="O158" s="8">
        <f>IF(J158="","",M158/L158)</f>
        <v>1.3610958904109588E-3</v>
      </c>
      <c r="P158" s="9">
        <f>IF(O158="","",(O158/(N158)*365))</f>
        <v>0.49679999999999996</v>
      </c>
      <c r="Q158" s="10"/>
    </row>
    <row r="159" spans="1:17" x14ac:dyDescent="0.15">
      <c r="A159" s="21" t="s">
        <v>29</v>
      </c>
      <c r="B159" s="20">
        <v>45982</v>
      </c>
      <c r="C159" s="20">
        <v>45989</v>
      </c>
      <c r="D159" s="20">
        <v>45989</v>
      </c>
      <c r="E159" s="20" t="s">
        <v>24</v>
      </c>
      <c r="F159" s="21" t="s">
        <v>25</v>
      </c>
      <c r="G159" s="22">
        <v>167.5</v>
      </c>
      <c r="H159" s="11">
        <v>3</v>
      </c>
      <c r="I159" s="15">
        <v>1.25</v>
      </c>
      <c r="J159" s="15">
        <v>0.01</v>
      </c>
      <c r="K159" s="14">
        <f>0.12+0.12</f>
        <v>0.24</v>
      </c>
      <c r="L159" s="22">
        <v>50250</v>
      </c>
      <c r="M159" s="32">
        <f t="shared" si="0"/>
        <v>371.28000000000003</v>
      </c>
      <c r="N159" s="16">
        <f t="shared" si="1"/>
        <v>7</v>
      </c>
      <c r="O159" s="17">
        <f>IF(J159="","",M159/L159)</f>
        <v>7.3886567164179106E-3</v>
      </c>
      <c r="P159" s="18">
        <f>IF(O159="","",(O159/(N159)*365))</f>
        <v>0.38526567164179104</v>
      </c>
      <c r="Q159" s="19"/>
    </row>
    <row r="160" spans="1:17" x14ac:dyDescent="0.15">
      <c r="A160" s="23" t="s">
        <v>29</v>
      </c>
      <c r="B160" s="3">
        <v>45982</v>
      </c>
      <c r="C160" s="3">
        <v>45989</v>
      </c>
      <c r="D160" s="3">
        <v>45989</v>
      </c>
      <c r="E160" s="3" t="s">
        <v>82</v>
      </c>
      <c r="F160" s="23" t="s">
        <v>25</v>
      </c>
      <c r="G160" s="24">
        <v>180</v>
      </c>
      <c r="H160" s="1">
        <v>2</v>
      </c>
      <c r="I160" s="6">
        <v>1.5</v>
      </c>
      <c r="J160" s="6">
        <v>0.01</v>
      </c>
      <c r="K160" s="5">
        <f>0.08+0.08</f>
        <v>0.16</v>
      </c>
      <c r="L160" s="24">
        <v>36000</v>
      </c>
      <c r="M160" s="31">
        <f t="shared" si="0"/>
        <v>297.68</v>
      </c>
      <c r="N160" s="7">
        <f t="shared" si="1"/>
        <v>7</v>
      </c>
      <c r="O160" s="8">
        <f>IF(J160="","",M160/L160)</f>
        <v>8.2688888888888899E-3</v>
      </c>
      <c r="P160" s="9">
        <f>IF(O160="","",(O160/(N160)*365))</f>
        <v>0.43116349206349208</v>
      </c>
      <c r="Q160" s="10"/>
    </row>
    <row r="161" spans="1:17" x14ac:dyDescent="0.15">
      <c r="A161" s="21" t="s">
        <v>29</v>
      </c>
      <c r="B161" s="20">
        <v>45992</v>
      </c>
      <c r="C161" s="20">
        <v>46003</v>
      </c>
      <c r="D161" s="20">
        <v>45994</v>
      </c>
      <c r="E161" s="20" t="s">
        <v>26</v>
      </c>
      <c r="F161" s="21" t="s">
        <v>25</v>
      </c>
      <c r="G161" s="22">
        <v>320</v>
      </c>
      <c r="H161" s="11">
        <v>2</v>
      </c>
      <c r="I161" s="15">
        <v>1.4</v>
      </c>
      <c r="J161" s="15">
        <v>1.3</v>
      </c>
      <c r="K161" s="14">
        <v>0.18</v>
      </c>
      <c r="L161" s="22">
        <v>64000</v>
      </c>
      <c r="M161" s="32">
        <f t="shared" si="0"/>
        <v>19.639999999999976</v>
      </c>
      <c r="N161" s="16">
        <f t="shared" si="1"/>
        <v>2</v>
      </c>
      <c r="O161" s="17">
        <f>IF(J161="","",M161/L161)</f>
        <v>3.0687499999999964E-4</v>
      </c>
      <c r="P161" s="18">
        <f>IF(O161="","",(O161/(N161)*365))</f>
        <v>5.6004687499999935E-2</v>
      </c>
      <c r="Q161" s="19"/>
    </row>
    <row r="162" spans="1:17" ht="14" x14ac:dyDescent="0.15">
      <c r="A162" s="23" t="s">
        <v>29</v>
      </c>
      <c r="B162" s="3">
        <v>45993</v>
      </c>
      <c r="C162" s="3">
        <v>46010</v>
      </c>
      <c r="D162" s="3">
        <v>46009</v>
      </c>
      <c r="E162" s="3" t="s">
        <v>38</v>
      </c>
      <c r="F162" s="23" t="s">
        <v>27</v>
      </c>
      <c r="G162" s="24">
        <v>185</v>
      </c>
      <c r="H162" s="1">
        <v>2</v>
      </c>
      <c r="I162" s="6">
        <f>1.6+2.5</f>
        <v>4.0999999999999996</v>
      </c>
      <c r="J162" s="6">
        <v>1.59</v>
      </c>
      <c r="K162" s="5">
        <f>0.16</f>
        <v>0.16</v>
      </c>
      <c r="L162" s="24">
        <v>37000</v>
      </c>
      <c r="M162" s="31">
        <f t="shared" si="0"/>
        <v>501.68</v>
      </c>
      <c r="N162" s="7">
        <f t="shared" si="1"/>
        <v>16</v>
      </c>
      <c r="O162" s="8">
        <f>IF(J162="","",M162/L162)</f>
        <v>1.355891891891892E-2</v>
      </c>
      <c r="P162" s="9">
        <f>IF(O162="","",(O162/(N162)*365))</f>
        <v>0.30931283783783786</v>
      </c>
      <c r="Q162" s="10" t="s">
        <v>85</v>
      </c>
    </row>
    <row r="163" spans="1:17" x14ac:dyDescent="0.15">
      <c r="A163" s="21" t="s">
        <v>29</v>
      </c>
      <c r="B163" s="20">
        <v>45994</v>
      </c>
      <c r="C163" s="20">
        <v>46003</v>
      </c>
      <c r="D163" s="20">
        <v>46003</v>
      </c>
      <c r="E163" s="20" t="s">
        <v>24</v>
      </c>
      <c r="F163" s="21" t="s">
        <v>25</v>
      </c>
      <c r="G163" s="22">
        <v>167.5</v>
      </c>
      <c r="H163" s="11">
        <v>2</v>
      </c>
      <c r="I163" s="15">
        <v>1</v>
      </c>
      <c r="J163" s="15">
        <v>0.01</v>
      </c>
      <c r="K163" s="14">
        <f>0.08+0.08</f>
        <v>0.16</v>
      </c>
      <c r="L163" s="22">
        <v>33500</v>
      </c>
      <c r="M163" s="32">
        <f t="shared" si="0"/>
        <v>197.67999999999998</v>
      </c>
      <c r="N163" s="16">
        <f t="shared" si="1"/>
        <v>9</v>
      </c>
      <c r="O163" s="17">
        <f>IF(J163="","",M163/L163)</f>
        <v>5.9008955223880588E-3</v>
      </c>
      <c r="P163" s="18">
        <f>IF(O163="","",(O163/(N163)*365))</f>
        <v>0.23931409618573793</v>
      </c>
      <c r="Q163" s="19"/>
    </row>
    <row r="164" spans="1:17" x14ac:dyDescent="0.15">
      <c r="A164" s="23" t="s">
        <v>29</v>
      </c>
      <c r="B164" s="3">
        <v>46003</v>
      </c>
      <c r="C164" s="3">
        <v>46010</v>
      </c>
      <c r="D164" s="3">
        <v>46009</v>
      </c>
      <c r="E164" s="3" t="s">
        <v>82</v>
      </c>
      <c r="F164" s="23" t="s">
        <v>25</v>
      </c>
      <c r="G164" s="24">
        <v>200</v>
      </c>
      <c r="H164" s="1">
        <v>2</v>
      </c>
      <c r="I164" s="6">
        <v>1.5</v>
      </c>
      <c r="J164" s="6">
        <v>0.03</v>
      </c>
      <c r="K164" s="5">
        <f>0.08</f>
        <v>0.08</v>
      </c>
      <c r="L164" s="24">
        <v>40000</v>
      </c>
      <c r="M164" s="31">
        <f t="shared" si="0"/>
        <v>293.84000000000003</v>
      </c>
      <c r="N164" s="7">
        <f t="shared" si="1"/>
        <v>6</v>
      </c>
      <c r="O164" s="8">
        <f>IF(J164="","",M164/L164)</f>
        <v>7.346000000000001E-3</v>
      </c>
      <c r="P164" s="9">
        <f>IF(O164="","",(O164/(N164)*365))</f>
        <v>0.44688166666666673</v>
      </c>
      <c r="Q164" s="10"/>
    </row>
    <row r="165" spans="1:17" x14ac:dyDescent="0.15">
      <c r="A165" s="21" t="s">
        <v>29</v>
      </c>
      <c r="B165" s="20">
        <v>46003</v>
      </c>
      <c r="C165" s="20">
        <v>46010</v>
      </c>
      <c r="D165" s="20">
        <v>46010</v>
      </c>
      <c r="E165" s="20" t="s">
        <v>26</v>
      </c>
      <c r="F165" s="21" t="s">
        <v>25</v>
      </c>
      <c r="G165" s="22">
        <v>322.5</v>
      </c>
      <c r="H165" s="11">
        <v>2</v>
      </c>
      <c r="I165" s="15">
        <v>1</v>
      </c>
      <c r="J165" s="15">
        <f>0.03</f>
        <v>0.03</v>
      </c>
      <c r="K165" s="14">
        <f>0.08+0.08</f>
        <v>0.16</v>
      </c>
      <c r="L165" s="22">
        <v>65000</v>
      </c>
      <c r="M165" s="32">
        <f t="shared" si="0"/>
        <v>193.67999999999998</v>
      </c>
      <c r="N165" s="16">
        <f t="shared" si="1"/>
        <v>7</v>
      </c>
      <c r="O165" s="17">
        <f>IF(J165="","",M165/L165)</f>
        <v>2.9796923076923073E-3</v>
      </c>
      <c r="P165" s="18">
        <f>IF(O165="","",(O165/(N165)*365))</f>
        <v>0.15536967032967031</v>
      </c>
      <c r="Q165" s="19"/>
    </row>
    <row r="166" spans="1:17" x14ac:dyDescent="0.15">
      <c r="A166" s="23" t="s">
        <v>29</v>
      </c>
      <c r="B166" s="3">
        <v>46007</v>
      </c>
      <c r="C166" s="3">
        <v>46010</v>
      </c>
      <c r="D166" s="3">
        <v>46010</v>
      </c>
      <c r="E166" s="3" t="s">
        <v>86</v>
      </c>
      <c r="F166" s="23" t="s">
        <v>25</v>
      </c>
      <c r="G166" s="24">
        <v>22</v>
      </c>
      <c r="H166" s="1">
        <v>10</v>
      </c>
      <c r="I166" s="6">
        <v>0.3</v>
      </c>
      <c r="J166" s="6">
        <v>0.27</v>
      </c>
      <c r="K166" s="5">
        <v>0.4</v>
      </c>
      <c r="L166" s="24">
        <v>22000</v>
      </c>
      <c r="M166" s="31">
        <f t="shared" si="0"/>
        <v>25.999999999999972</v>
      </c>
      <c r="N166" s="7">
        <f t="shared" si="1"/>
        <v>3</v>
      </c>
      <c r="O166" s="8">
        <f>IF(J166="","",M166/L166)</f>
        <v>1.1818181818181806E-3</v>
      </c>
      <c r="P166" s="9">
        <f>IF(O166="","",(O166/(N166)*365))</f>
        <v>0.14378787878787863</v>
      </c>
      <c r="Q166" s="10"/>
    </row>
    <row r="167" spans="1:17" x14ac:dyDescent="0.15">
      <c r="A167" s="21" t="s">
        <v>29</v>
      </c>
      <c r="B167" s="20">
        <v>46007</v>
      </c>
      <c r="C167" s="20">
        <v>46010</v>
      </c>
      <c r="D167" s="20">
        <v>46010</v>
      </c>
      <c r="E167" s="20" t="s">
        <v>87</v>
      </c>
      <c r="F167" s="21" t="s">
        <v>25</v>
      </c>
      <c r="G167" s="22">
        <v>33</v>
      </c>
      <c r="H167" s="11">
        <v>5</v>
      </c>
      <c r="I167" s="15">
        <v>0.45</v>
      </c>
      <c r="J167" s="15">
        <v>0.03</v>
      </c>
      <c r="K167" s="14">
        <f>0.1+0.1</f>
        <v>0.2</v>
      </c>
      <c r="L167" s="22">
        <v>16500</v>
      </c>
      <c r="M167" s="32">
        <f t="shared" si="0"/>
        <v>209.00000000000003</v>
      </c>
      <c r="N167" s="16">
        <f t="shared" si="1"/>
        <v>3</v>
      </c>
      <c r="O167" s="17">
        <f>IF(J167="","",M167/L167)</f>
        <v>1.2666666666666668E-2</v>
      </c>
      <c r="P167" s="18">
        <f>IF(O167="","",(O167/(N167)*365))</f>
        <v>1.5411111111111113</v>
      </c>
      <c r="Q167" s="19"/>
    </row>
    <row r="168" spans="1:17" x14ac:dyDescent="0.15">
      <c r="A168" s="23" t="s">
        <v>29</v>
      </c>
      <c r="B168" s="3">
        <v>46009</v>
      </c>
      <c r="C168" s="3">
        <v>46010</v>
      </c>
      <c r="D168" s="3">
        <v>46010</v>
      </c>
      <c r="E168" s="3" t="s">
        <v>84</v>
      </c>
      <c r="F168" s="23" t="s">
        <v>27</v>
      </c>
      <c r="G168" s="24">
        <v>675</v>
      </c>
      <c r="H168" s="1">
        <v>1</v>
      </c>
      <c r="I168" s="6">
        <v>1.75</v>
      </c>
      <c r="J168" s="6">
        <v>0.2</v>
      </c>
      <c r="K168" s="5">
        <f>0.08</f>
        <v>0.08</v>
      </c>
      <c r="L168" s="24">
        <v>19000</v>
      </c>
      <c r="M168" s="31">
        <f t="shared" si="0"/>
        <v>154.92000000000002</v>
      </c>
      <c r="N168" s="7">
        <f t="shared" si="1"/>
        <v>1</v>
      </c>
      <c r="O168" s="8">
        <f>IF(J168="","",M168/L168)</f>
        <v>8.1536842105263165E-3</v>
      </c>
      <c r="P168" s="9">
        <f>IF(O168="","",(O168/(N168)*365))</f>
        <v>2.9760947368421053</v>
      </c>
      <c r="Q168" s="10"/>
    </row>
    <row r="169" spans="1:17" x14ac:dyDescent="0.15">
      <c r="A169" s="21" t="s">
        <v>29</v>
      </c>
      <c r="B169" s="20">
        <v>46013</v>
      </c>
      <c r="C169" s="20">
        <v>46017</v>
      </c>
      <c r="D169" s="20">
        <v>46014</v>
      </c>
      <c r="E169" s="20" t="s">
        <v>84</v>
      </c>
      <c r="F169" s="21" t="s">
        <v>27</v>
      </c>
      <c r="G169" s="22">
        <v>675</v>
      </c>
      <c r="H169" s="11">
        <v>1</v>
      </c>
      <c r="I169" s="15">
        <v>1.65</v>
      </c>
      <c r="J169" s="15">
        <v>1.1000000000000001</v>
      </c>
      <c r="K169" s="14">
        <v>0.08</v>
      </c>
      <c r="L169" s="22">
        <v>19000</v>
      </c>
      <c r="M169" s="32">
        <f t="shared" si="0"/>
        <v>54.91999999999998</v>
      </c>
      <c r="N169" s="16">
        <f t="shared" si="1"/>
        <v>1</v>
      </c>
      <c r="O169" s="17">
        <f>IF(J169="","",M169/L169)</f>
        <v>2.8905263157894727E-3</v>
      </c>
      <c r="P169" s="18">
        <f>IF(O169="","",(O169/(N169)*365))</f>
        <v>1.0550421052631576</v>
      </c>
      <c r="Q169" s="19"/>
    </row>
    <row r="170" spans="1:17" x14ac:dyDescent="0.15">
      <c r="A170" s="23" t="s">
        <v>29</v>
      </c>
      <c r="B170" s="3">
        <v>46013</v>
      </c>
      <c r="C170" s="3">
        <v>46024</v>
      </c>
      <c r="D170" s="3">
        <v>46015</v>
      </c>
      <c r="E170" s="3" t="s">
        <v>26</v>
      </c>
      <c r="F170" s="23" t="s">
        <v>25</v>
      </c>
      <c r="G170" s="24">
        <v>317.5</v>
      </c>
      <c r="H170" s="1">
        <v>2</v>
      </c>
      <c r="I170" s="6">
        <v>1.8</v>
      </c>
      <c r="J170" s="6">
        <v>0.4</v>
      </c>
      <c r="K170" s="5">
        <f>0.08</f>
        <v>0.08</v>
      </c>
      <c r="L170" s="24">
        <v>63500</v>
      </c>
      <c r="M170" s="31">
        <f t="shared" si="0"/>
        <v>279.83999999999997</v>
      </c>
      <c r="N170" s="7">
        <f t="shared" si="1"/>
        <v>2</v>
      </c>
      <c r="O170" s="8">
        <f>IF(J170="","",M170/L170)</f>
        <v>4.4069291338582678E-3</v>
      </c>
      <c r="P170" s="9">
        <f>IF(O170="","",(O170/(N170)*365))</f>
        <v>0.80426456692913384</v>
      </c>
      <c r="Q170" s="10"/>
    </row>
    <row r="171" spans="1:17" ht="42" x14ac:dyDescent="0.15">
      <c r="A171" s="21" t="s">
        <v>29</v>
      </c>
      <c r="B171" s="20">
        <v>46017</v>
      </c>
      <c r="C171" s="20">
        <v>46073</v>
      </c>
      <c r="D171" s="20"/>
      <c r="E171" s="20" t="s">
        <v>87</v>
      </c>
      <c r="F171" s="21" t="s">
        <v>25</v>
      </c>
      <c r="G171" s="22">
        <v>42</v>
      </c>
      <c r="H171" s="11">
        <v>5</v>
      </c>
      <c r="I171" s="15">
        <f>0.5+1.35+0.9+1.61</f>
        <v>4.3600000000000003</v>
      </c>
      <c r="J171" s="15"/>
      <c r="K171" s="14">
        <f>0.2</f>
        <v>0.2</v>
      </c>
      <c r="L171" s="22">
        <v>21000</v>
      </c>
      <c r="M171" s="32" t="str">
        <f t="shared" si="0"/>
        <v/>
      </c>
      <c r="N171" s="16" t="str">
        <f t="shared" si="1"/>
        <v/>
      </c>
      <c r="O171" s="17" t="str">
        <f>IF(J171="","",M171/L171)</f>
        <v/>
      </c>
      <c r="P171" s="18" t="str">
        <f>IF(O171="","",(O171/(N171)*365))</f>
        <v/>
      </c>
      <c r="Q171" s="19" t="s">
        <v>88</v>
      </c>
    </row>
    <row r="172" spans="1:17" ht="14" x14ac:dyDescent="0.15">
      <c r="A172" s="23" t="s">
        <v>29</v>
      </c>
      <c r="B172" s="3">
        <v>46017</v>
      </c>
      <c r="C172" s="3">
        <v>46045</v>
      </c>
      <c r="D172" s="3">
        <v>46045</v>
      </c>
      <c r="E172" s="3" t="s">
        <v>26</v>
      </c>
      <c r="F172" s="23" t="s">
        <v>25</v>
      </c>
      <c r="G172" s="24">
        <v>320</v>
      </c>
      <c r="H172" s="1">
        <v>1</v>
      </c>
      <c r="I172" s="6">
        <f>1.3+2.35</f>
        <v>3.6500000000000004</v>
      </c>
      <c r="J172" s="6">
        <v>2.2999999999999998</v>
      </c>
      <c r="K172" s="5">
        <f>0.08+0.08</f>
        <v>0.16</v>
      </c>
      <c r="L172" s="24">
        <v>32000</v>
      </c>
      <c r="M172" s="31">
        <f t="shared" si="0"/>
        <v>134.84000000000006</v>
      </c>
      <c r="N172" s="7">
        <f t="shared" si="1"/>
        <v>28</v>
      </c>
      <c r="O172" s="8">
        <f>IF(J172="","",M172/L172)</f>
        <v>4.2137500000000022E-3</v>
      </c>
      <c r="P172" s="9">
        <f>IF(O172="","",(O172/(N172)*365))</f>
        <v>5.4929241071428603E-2</v>
      </c>
      <c r="Q172" s="10" t="s">
        <v>89</v>
      </c>
    </row>
    <row r="173" spans="1:17" x14ac:dyDescent="0.15">
      <c r="A173" s="23" t="s">
        <v>29</v>
      </c>
      <c r="B173" s="3">
        <v>46017</v>
      </c>
      <c r="C173" s="3">
        <v>46045</v>
      </c>
      <c r="D173" s="3">
        <v>46045</v>
      </c>
      <c r="E173" s="3" t="s">
        <v>26</v>
      </c>
      <c r="F173" s="23" t="s">
        <v>25</v>
      </c>
      <c r="G173" s="24">
        <v>320</v>
      </c>
      <c r="H173" s="1">
        <v>1</v>
      </c>
      <c r="I173" s="6">
        <f>1.3+2.35</f>
        <v>3.6500000000000004</v>
      </c>
      <c r="J173" s="6">
        <v>0</v>
      </c>
      <c r="K173" s="5">
        <v>0.16</v>
      </c>
      <c r="L173" s="24">
        <v>32000</v>
      </c>
      <c r="M173" s="31">
        <f t="shared" ref="M173:M174" si="7">IF(J173="","",IF(A173="SELL",(I173-J173-K173/100)*H173*100, IF(A173="BUY",(J173-I173-K173/100)*H173*100, IF(A173="ASS",(J173-I173-K173/100)*H173*100,IF(A173="ASSIGNED",(J173-I173-K173/100)*H173*100, IF(A173="SDI",((J173-I173)*H173)-(K173), IF(A173="","")))))))</f>
        <v>364.84000000000003</v>
      </c>
      <c r="N173" s="7">
        <f t="shared" ref="N173" si="8">IF(D173="","",(IF(D173-B173&lt;1,"1",D173-B173)))</f>
        <v>28</v>
      </c>
      <c r="O173" s="8">
        <f>IF(J173="","",M173/L173)</f>
        <v>1.1401250000000002E-2</v>
      </c>
      <c r="P173" s="9">
        <f>IF(O173="","",(O173/(N173)*365))</f>
        <v>0.14862343750000001</v>
      </c>
      <c r="Q173" s="10"/>
    </row>
    <row r="174" spans="1:17" x14ac:dyDescent="0.15">
      <c r="A174" s="21" t="s">
        <v>23</v>
      </c>
      <c r="B174" s="20">
        <v>46024</v>
      </c>
      <c r="C174" s="20">
        <v>46052</v>
      </c>
      <c r="D174" s="20">
        <v>46024</v>
      </c>
      <c r="E174" s="20" t="s">
        <v>84</v>
      </c>
      <c r="F174" s="21" t="s">
        <v>25</v>
      </c>
      <c r="G174" s="22">
        <v>610</v>
      </c>
      <c r="H174" s="11">
        <v>1</v>
      </c>
      <c r="I174" s="15">
        <v>10.3</v>
      </c>
      <c r="J174" s="15">
        <v>10.199999999999999</v>
      </c>
      <c r="K174" s="14">
        <f>0.08</f>
        <v>0.08</v>
      </c>
      <c r="L174" s="22">
        <v>61000</v>
      </c>
      <c r="M174" s="31">
        <f t="shared" si="7"/>
        <v>-10.080000000000142</v>
      </c>
      <c r="N174" s="16" t="str">
        <f t="shared" si="1"/>
        <v>1</v>
      </c>
      <c r="O174" s="17">
        <f>IF(J174="","",M174/L174)</f>
        <v>-1.6524590163934658E-4</v>
      </c>
      <c r="P174" s="18">
        <f>IF(O174="","",(O174/(N174)*365))</f>
        <v>-6.0314754098361505E-2</v>
      </c>
      <c r="Q174" s="19"/>
    </row>
    <row r="175" spans="1:17" x14ac:dyDescent="0.15">
      <c r="A175" s="23" t="s">
        <v>29</v>
      </c>
      <c r="B175" s="3">
        <v>46024</v>
      </c>
      <c r="C175" s="3">
        <v>46052</v>
      </c>
      <c r="D175" s="3">
        <v>46028</v>
      </c>
      <c r="E175" s="3" t="s">
        <v>84</v>
      </c>
      <c r="F175" s="23" t="s">
        <v>25</v>
      </c>
      <c r="G175" s="24">
        <v>610</v>
      </c>
      <c r="H175" s="1">
        <v>1</v>
      </c>
      <c r="I175" s="6">
        <v>10.25</v>
      </c>
      <c r="J175" s="6">
        <v>7.25</v>
      </c>
      <c r="K175" s="5">
        <f>0.02+0.04</f>
        <v>0.06</v>
      </c>
      <c r="L175" s="24">
        <v>61000</v>
      </c>
      <c r="M175" s="31">
        <f t="shared" si="0"/>
        <v>299.94</v>
      </c>
      <c r="N175" s="7">
        <f t="shared" si="1"/>
        <v>4</v>
      </c>
      <c r="O175" s="8">
        <f>IF(J175="","",M175/L175)</f>
        <v>4.9170491803278687E-3</v>
      </c>
      <c r="P175" s="9">
        <f>IF(O175="","",(O175/(N175)*365))</f>
        <v>0.44868073770491801</v>
      </c>
      <c r="Q175" s="10"/>
    </row>
    <row r="176" spans="1:17" x14ac:dyDescent="0.15">
      <c r="A176" s="21" t="s">
        <v>29</v>
      </c>
      <c r="B176" s="20">
        <v>46027</v>
      </c>
      <c r="C176" s="20">
        <v>46073</v>
      </c>
      <c r="D176" s="20"/>
      <c r="E176" s="20" t="s">
        <v>68</v>
      </c>
      <c r="F176" s="21" t="s">
        <v>27</v>
      </c>
      <c r="G176" s="22">
        <v>100</v>
      </c>
      <c r="H176" s="11">
        <v>5</v>
      </c>
      <c r="I176" s="15">
        <v>2.1</v>
      </c>
      <c r="J176" s="15"/>
      <c r="K176" s="14">
        <f>0.2</f>
        <v>0.2</v>
      </c>
      <c r="L176" s="22">
        <v>16250</v>
      </c>
      <c r="M176" s="32" t="str">
        <f t="shared" si="0"/>
        <v/>
      </c>
      <c r="N176" s="16" t="str">
        <f t="shared" si="1"/>
        <v/>
      </c>
      <c r="O176" s="17" t="str">
        <f>IF(J176="","",M176/L176)</f>
        <v/>
      </c>
      <c r="P176" s="18" t="str">
        <f>IF(O176="","",(O176/(N176)*365))</f>
        <v/>
      </c>
      <c r="Q176" s="19"/>
    </row>
    <row r="177" spans="1:17" x14ac:dyDescent="0.15">
      <c r="A177" s="23" t="s">
        <v>23</v>
      </c>
      <c r="B177" s="3">
        <v>46027</v>
      </c>
      <c r="C177" s="3">
        <v>46038</v>
      </c>
      <c r="D177" s="3">
        <v>46028</v>
      </c>
      <c r="E177" s="3" t="s">
        <v>82</v>
      </c>
      <c r="F177" s="23" t="s">
        <v>25</v>
      </c>
      <c r="G177" s="24">
        <v>315</v>
      </c>
      <c r="H177" s="1">
        <v>2</v>
      </c>
      <c r="I177" s="6">
        <v>12.75</v>
      </c>
      <c r="J177" s="6">
        <v>6.5</v>
      </c>
      <c r="K177" s="5">
        <f>0.08+0.08</f>
        <v>0.16</v>
      </c>
      <c r="L177" s="24">
        <v>2550</v>
      </c>
      <c r="M177" s="31">
        <f t="shared" si="0"/>
        <v>-1250.32</v>
      </c>
      <c r="N177" s="7">
        <f t="shared" si="1"/>
        <v>1</v>
      </c>
      <c r="O177" s="8">
        <f>IF(J177="","",M177/L177)</f>
        <v>-0.49032156862745097</v>
      </c>
      <c r="P177" s="9">
        <f>IF(O177="","",(O177/(N177)*365))</f>
        <v>-178.96737254901961</v>
      </c>
      <c r="Q177" s="10"/>
    </row>
    <row r="178" spans="1:17" x14ac:dyDescent="0.15">
      <c r="A178" s="21" t="s">
        <v>29</v>
      </c>
      <c r="B178" s="20">
        <v>46027</v>
      </c>
      <c r="C178" s="20">
        <v>46038</v>
      </c>
      <c r="D178" s="20">
        <v>46027</v>
      </c>
      <c r="E178" s="20" t="s">
        <v>82</v>
      </c>
      <c r="F178" s="21" t="s">
        <v>27</v>
      </c>
      <c r="G178" s="22">
        <v>320</v>
      </c>
      <c r="H178" s="11">
        <v>2</v>
      </c>
      <c r="I178" s="15">
        <v>10.75</v>
      </c>
      <c r="J178" s="15">
        <v>9.74</v>
      </c>
      <c r="K178" s="14">
        <f>0.16</f>
        <v>0.16</v>
      </c>
      <c r="L178" s="22">
        <v>63000</v>
      </c>
      <c r="M178" s="32">
        <f t="shared" si="0"/>
        <v>201.67999999999995</v>
      </c>
      <c r="N178" s="16" t="str">
        <f t="shared" si="1"/>
        <v>1</v>
      </c>
      <c r="O178" s="17">
        <f>IF(J178="","",M178/L178)</f>
        <v>3.2012698412698403E-3</v>
      </c>
      <c r="P178" s="18">
        <f>IF(O178="","",(O178/(N178)*365))</f>
        <v>1.1684634920634918</v>
      </c>
      <c r="Q178" s="19"/>
    </row>
    <row r="179" spans="1:17" ht="28" x14ac:dyDescent="0.15">
      <c r="A179" s="23" t="s">
        <v>29</v>
      </c>
      <c r="B179" s="3">
        <v>46027</v>
      </c>
      <c r="C179" s="3">
        <v>46191</v>
      </c>
      <c r="D179" s="3"/>
      <c r="E179" s="3" t="s">
        <v>82</v>
      </c>
      <c r="F179" s="23" t="s">
        <v>27</v>
      </c>
      <c r="G179" s="24">
        <v>370</v>
      </c>
      <c r="H179" s="1">
        <v>2</v>
      </c>
      <c r="I179" s="6">
        <f>9.1+4.5+1.05+2.95</f>
        <v>17.600000000000001</v>
      </c>
      <c r="J179" s="6"/>
      <c r="K179" s="5">
        <f>0.08+0.16+0.16</f>
        <v>0.4</v>
      </c>
      <c r="L179" s="24">
        <v>63000</v>
      </c>
      <c r="M179" s="31" t="str">
        <f t="shared" si="0"/>
        <v/>
      </c>
      <c r="N179" s="7" t="str">
        <f t="shared" si="1"/>
        <v/>
      </c>
      <c r="O179" s="8" t="str">
        <f>IF(J179="","",M179/L179)</f>
        <v/>
      </c>
      <c r="P179" s="9" t="str">
        <f>IF(O179="","",(O179/(N179)*365))</f>
        <v/>
      </c>
      <c r="Q179" s="10" t="s">
        <v>90</v>
      </c>
    </row>
    <row r="180" spans="1:17" ht="14" x14ac:dyDescent="0.15">
      <c r="A180" s="21" t="s">
        <v>23</v>
      </c>
      <c r="B180" s="20">
        <v>46029</v>
      </c>
      <c r="C180" s="20">
        <v>46031</v>
      </c>
      <c r="D180" s="20">
        <v>46030</v>
      </c>
      <c r="E180" s="20" t="s">
        <v>91</v>
      </c>
      <c r="F180" s="21" t="s">
        <v>25</v>
      </c>
      <c r="G180" s="22">
        <v>1240</v>
      </c>
      <c r="H180" s="11">
        <v>2</v>
      </c>
      <c r="I180" s="15">
        <v>21.25</v>
      </c>
      <c r="J180" s="15">
        <v>56.07</v>
      </c>
      <c r="K180" s="14">
        <f>0.08</f>
        <v>0.08</v>
      </c>
      <c r="L180" s="22">
        <v>1000</v>
      </c>
      <c r="M180" s="32">
        <f t="shared" si="0"/>
        <v>6963.84</v>
      </c>
      <c r="N180" s="16">
        <f t="shared" si="1"/>
        <v>1</v>
      </c>
      <c r="O180" s="17">
        <f>IF(J180="","",M180/L180)</f>
        <v>6.9638400000000003</v>
      </c>
      <c r="P180" s="18">
        <f>IF(O180="","",(O180/(N180)*365))</f>
        <v>2541.8016000000002</v>
      </c>
      <c r="Q180" s="19" t="s">
        <v>92</v>
      </c>
    </row>
    <row r="181" spans="1:17" ht="14" x14ac:dyDescent="0.15">
      <c r="A181" s="23" t="s">
        <v>29</v>
      </c>
      <c r="B181" s="3">
        <v>46029</v>
      </c>
      <c r="C181" s="3">
        <v>46031</v>
      </c>
      <c r="D181" s="3">
        <v>46030</v>
      </c>
      <c r="E181" s="3" t="s">
        <v>91</v>
      </c>
      <c r="F181" s="23" t="s">
        <v>25</v>
      </c>
      <c r="G181" s="24">
        <v>1245</v>
      </c>
      <c r="H181" s="1">
        <v>2</v>
      </c>
      <c r="I181" s="6">
        <v>24.35</v>
      </c>
      <c r="J181" s="6">
        <v>61.07</v>
      </c>
      <c r="K181" s="5">
        <f>0.08</f>
        <v>0.08</v>
      </c>
      <c r="L181" s="24">
        <v>1000</v>
      </c>
      <c r="M181" s="31">
        <f t="shared" si="0"/>
        <v>-7344.16</v>
      </c>
      <c r="N181" s="7">
        <f t="shared" si="1"/>
        <v>1</v>
      </c>
      <c r="O181" s="8">
        <f>IF(J181="","",M181/L181)</f>
        <v>-7.3441599999999996</v>
      </c>
      <c r="P181" s="9">
        <f>IF(O181="","",(O181/(N181)*365))</f>
        <v>-2680.6183999999998</v>
      </c>
      <c r="Q181" s="10" t="s">
        <v>92</v>
      </c>
    </row>
    <row r="182" spans="1:17" x14ac:dyDescent="0.15">
      <c r="A182" s="21" t="s">
        <v>31</v>
      </c>
      <c r="B182" s="20">
        <v>46045</v>
      </c>
      <c r="C182" s="20"/>
      <c r="D182" s="20"/>
      <c r="E182" s="20" t="s">
        <v>26</v>
      </c>
      <c r="F182" s="21" t="s">
        <v>32</v>
      </c>
      <c r="G182" s="22">
        <v>320</v>
      </c>
      <c r="H182" s="11">
        <v>1</v>
      </c>
      <c r="I182" s="15">
        <v>320</v>
      </c>
      <c r="J182" s="15"/>
      <c r="K182" s="14"/>
      <c r="L182" s="22">
        <v>32000</v>
      </c>
      <c r="M182" s="32" t="str">
        <f t="shared" si="0"/>
        <v/>
      </c>
      <c r="N182" s="16" t="str">
        <f t="shared" si="1"/>
        <v/>
      </c>
      <c r="O182" s="17" t="str">
        <f>IF(J182="","",M182/L182)</f>
        <v/>
      </c>
      <c r="P182" s="18" t="str">
        <f>IF(O182="","",(O182/(N182)*365))</f>
        <v/>
      </c>
      <c r="Q182" s="19"/>
    </row>
    <row r="183" spans="1:17" x14ac:dyDescent="0.15">
      <c r="A183" s="23" t="s">
        <v>29</v>
      </c>
      <c r="B183" s="3">
        <v>46050</v>
      </c>
      <c r="C183" s="3">
        <v>46059</v>
      </c>
      <c r="D183" s="3"/>
      <c r="E183" s="3" t="s">
        <v>38</v>
      </c>
      <c r="F183" s="23" t="s">
        <v>25</v>
      </c>
      <c r="G183" s="24">
        <v>140</v>
      </c>
      <c r="H183" s="1">
        <v>3</v>
      </c>
      <c r="I183" s="6">
        <v>2.1</v>
      </c>
      <c r="J183" s="6"/>
      <c r="K183" s="5">
        <v>0.12</v>
      </c>
      <c r="L183" s="24">
        <v>42000</v>
      </c>
      <c r="M183" s="31" t="str">
        <f t="shared" si="0"/>
        <v/>
      </c>
      <c r="N183" s="7" t="str">
        <f t="shared" si="1"/>
        <v/>
      </c>
      <c r="O183" s="8" t="str">
        <f>IF(J183="","",M183/L183)</f>
        <v/>
      </c>
      <c r="P183" s="9" t="str">
        <f>IF(O183="","",(O183/(N183)*365))</f>
        <v/>
      </c>
      <c r="Q183" s="10"/>
    </row>
    <row r="184" spans="1:17" x14ac:dyDescent="0.15">
      <c r="A184" s="21" t="s">
        <v>29</v>
      </c>
      <c r="B184" s="20">
        <v>46048</v>
      </c>
      <c r="C184" s="20">
        <v>46101</v>
      </c>
      <c r="D184" s="20"/>
      <c r="E184" s="20" t="s">
        <v>26</v>
      </c>
      <c r="F184" s="21" t="s">
        <v>27</v>
      </c>
      <c r="G184" s="22">
        <v>420</v>
      </c>
      <c r="H184" s="11">
        <v>1</v>
      </c>
      <c r="I184" s="15">
        <v>3.75</v>
      </c>
      <c r="J184" s="15"/>
      <c r="K184" s="14">
        <f>0.04</f>
        <v>0.04</v>
      </c>
      <c r="L184" s="22">
        <v>32000</v>
      </c>
      <c r="M184" s="32" t="str">
        <f t="shared" si="0"/>
        <v/>
      </c>
      <c r="N184" s="16" t="str">
        <f t="shared" si="1"/>
        <v/>
      </c>
      <c r="O184" s="17" t="str">
        <f>IF(J184="","",M184/L184)</f>
        <v/>
      </c>
      <c r="P184" s="18" t="str">
        <f>IF(O184="","",(O184/(N184)*365))</f>
        <v/>
      </c>
      <c r="Q184" s="19"/>
    </row>
    <row r="185" spans="1:17" x14ac:dyDescent="0.15">
      <c r="A185" s="23"/>
      <c r="B185" s="3"/>
      <c r="C185" s="3"/>
      <c r="D185" s="3"/>
      <c r="E185" s="3"/>
      <c r="F185" s="23"/>
      <c r="G185" s="24"/>
      <c r="H185" s="1"/>
      <c r="I185" s="6"/>
      <c r="J185" s="6"/>
      <c r="K185" s="5"/>
      <c r="L185" s="24"/>
      <c r="M185" s="31" t="str">
        <f t="shared" si="0"/>
        <v/>
      </c>
      <c r="N185" s="7" t="str">
        <f t="shared" si="1"/>
        <v/>
      </c>
      <c r="O185" s="8" t="str">
        <f>IF(J185="","",M185/L185)</f>
        <v/>
      </c>
      <c r="P185" s="9" t="str">
        <f>IF(O185="","",(O185/(N185)*365))</f>
        <v/>
      </c>
      <c r="Q185" s="10"/>
    </row>
    <row r="186" spans="1:17" x14ac:dyDescent="0.15">
      <c r="A186" s="21"/>
      <c r="B186" s="20"/>
      <c r="C186" s="20"/>
      <c r="D186" s="20"/>
      <c r="E186" s="20"/>
      <c r="F186" s="21"/>
      <c r="G186" s="22"/>
      <c r="H186" s="11"/>
      <c r="I186" s="15"/>
      <c r="J186" s="15"/>
      <c r="K186" s="14"/>
      <c r="L186" s="22"/>
      <c r="M186" s="32" t="str">
        <f t="shared" si="0"/>
        <v/>
      </c>
      <c r="N186" s="16" t="str">
        <f t="shared" si="1"/>
        <v/>
      </c>
      <c r="O186" s="17" t="str">
        <f>IF(J186="","",M186/L186)</f>
        <v/>
      </c>
      <c r="P186" s="18" t="str">
        <f>IF(O186="","",(O186/(N186)*365))</f>
        <v/>
      </c>
      <c r="Q186" s="19"/>
    </row>
    <row r="187" spans="1:17" x14ac:dyDescent="0.15">
      <c r="A187" s="23"/>
      <c r="B187" s="3"/>
      <c r="C187" s="3"/>
      <c r="D187" s="3"/>
      <c r="E187" s="3"/>
      <c r="F187" s="23"/>
      <c r="G187" s="24"/>
      <c r="H187" s="1"/>
      <c r="I187" s="6"/>
      <c r="J187" s="6"/>
      <c r="K187" s="5"/>
      <c r="L187" s="24"/>
      <c r="M187" s="31" t="str">
        <f t="shared" si="0"/>
        <v/>
      </c>
      <c r="N187" s="7" t="str">
        <f t="shared" si="1"/>
        <v/>
      </c>
      <c r="O187" s="8" t="str">
        <f>IF(J187="","",M187/L187)</f>
        <v/>
      </c>
      <c r="P187" s="9" t="str">
        <f>IF(O187="","",(O187/(N187)*365))</f>
        <v/>
      </c>
      <c r="Q187" s="10"/>
    </row>
    <row r="188" spans="1:17" x14ac:dyDescent="0.15">
      <c r="A188" s="21"/>
      <c r="B188" s="20"/>
      <c r="C188" s="20"/>
      <c r="D188" s="20"/>
      <c r="E188" s="20"/>
      <c r="F188" s="21"/>
      <c r="G188" s="22"/>
      <c r="H188" s="11"/>
      <c r="I188" s="15"/>
      <c r="J188" s="15"/>
      <c r="K188" s="14"/>
      <c r="L188" s="22"/>
      <c r="M188" s="32" t="str">
        <f t="shared" si="0"/>
        <v/>
      </c>
      <c r="N188" s="16" t="str">
        <f t="shared" si="1"/>
        <v/>
      </c>
      <c r="O188" s="17" t="str">
        <f>IF(J188="","",M188/L188)</f>
        <v/>
      </c>
      <c r="P188" s="18" t="str">
        <f>IF(O188="","",(O188/(N188)*365))</f>
        <v/>
      </c>
      <c r="Q188" s="19"/>
    </row>
    <row r="189" spans="1:17" x14ac:dyDescent="0.15">
      <c r="A189" s="23"/>
      <c r="B189" s="3"/>
      <c r="C189" s="3"/>
      <c r="D189" s="3"/>
      <c r="E189" s="3"/>
      <c r="F189" s="23"/>
      <c r="G189" s="24"/>
      <c r="H189" s="1"/>
      <c r="I189" s="6"/>
      <c r="J189" s="6"/>
      <c r="K189" s="5"/>
      <c r="L189" s="24"/>
      <c r="M189" s="31" t="str">
        <f t="shared" si="0"/>
        <v/>
      </c>
      <c r="N189" s="7" t="str">
        <f t="shared" si="1"/>
        <v/>
      </c>
      <c r="O189" s="8" t="str">
        <f>IF(J189="","",M189/L189)</f>
        <v/>
      </c>
      <c r="P189" s="9" t="str">
        <f>IF(O189="","",(O189/(N189)*365))</f>
        <v/>
      </c>
      <c r="Q189" s="10"/>
    </row>
    <row r="190" spans="1:17" x14ac:dyDescent="0.15">
      <c r="A190" s="21"/>
      <c r="B190" s="20"/>
      <c r="C190" s="20"/>
      <c r="D190" s="20"/>
      <c r="E190" s="20"/>
      <c r="F190" s="21"/>
      <c r="G190" s="22"/>
      <c r="H190" s="11"/>
      <c r="I190" s="15"/>
      <c r="J190" s="15"/>
      <c r="K190" s="14"/>
      <c r="L190" s="22"/>
      <c r="M190" s="32" t="str">
        <f t="shared" si="0"/>
        <v/>
      </c>
      <c r="N190" s="16" t="str">
        <f t="shared" si="1"/>
        <v/>
      </c>
      <c r="O190" s="17" t="str">
        <f>IF(J190="","",M190/L190)</f>
        <v/>
      </c>
      <c r="P190" s="18" t="str">
        <f>IF(O190="","",(O190/(N190)*365))</f>
        <v/>
      </c>
      <c r="Q190" s="19"/>
    </row>
    <row r="191" spans="1:17" x14ac:dyDescent="0.15">
      <c r="A191" s="23"/>
      <c r="B191" s="3"/>
      <c r="C191" s="3"/>
      <c r="D191" s="3"/>
      <c r="E191" s="3"/>
      <c r="F191" s="23"/>
      <c r="G191" s="24"/>
      <c r="H191" s="1"/>
      <c r="I191" s="6"/>
      <c r="J191" s="6"/>
      <c r="K191" s="5"/>
      <c r="L191" s="24"/>
      <c r="M191" s="31" t="str">
        <f t="shared" si="0"/>
        <v/>
      </c>
      <c r="N191" s="7" t="str">
        <f t="shared" si="1"/>
        <v/>
      </c>
      <c r="O191" s="8" t="str">
        <f>IF(J191="","",M191/L191)</f>
        <v/>
      </c>
      <c r="P191" s="9" t="str">
        <f>IF(O191="","",(O191/(N191)*365))</f>
        <v/>
      </c>
      <c r="Q191" s="10"/>
    </row>
    <row r="192" spans="1:17" x14ac:dyDescent="0.15">
      <c r="A192" s="21"/>
      <c r="B192" s="20"/>
      <c r="C192" s="20"/>
      <c r="D192" s="20"/>
      <c r="E192" s="20"/>
      <c r="F192" s="21"/>
      <c r="G192" s="22"/>
      <c r="H192" s="11"/>
      <c r="I192" s="15"/>
      <c r="J192" s="15"/>
      <c r="K192" s="14"/>
      <c r="L192" s="22"/>
      <c r="M192" s="32" t="str">
        <f t="shared" si="0"/>
        <v/>
      </c>
      <c r="N192" s="16" t="str">
        <f t="shared" si="1"/>
        <v/>
      </c>
      <c r="O192" s="17" t="str">
        <f>IF(J192="","",M192/L192)</f>
        <v/>
      </c>
      <c r="P192" s="18" t="str">
        <f>IF(O192="","",(O192/(N192)*365))</f>
        <v/>
      </c>
      <c r="Q192" s="19"/>
    </row>
    <row r="193" spans="1:17" x14ac:dyDescent="0.15">
      <c r="A193" s="23"/>
      <c r="B193" s="3"/>
      <c r="C193" s="3"/>
      <c r="D193" s="3"/>
      <c r="E193" s="3"/>
      <c r="F193" s="23"/>
      <c r="G193" s="24"/>
      <c r="H193" s="1"/>
      <c r="I193" s="6"/>
      <c r="J193" s="6"/>
      <c r="K193" s="5"/>
      <c r="L193" s="24"/>
      <c r="M193" s="31" t="str">
        <f t="shared" si="0"/>
        <v/>
      </c>
      <c r="N193" s="7" t="str">
        <f t="shared" si="1"/>
        <v/>
      </c>
      <c r="O193" s="8" t="str">
        <f>IF(J193="","",M193/L193)</f>
        <v/>
      </c>
      <c r="P193" s="9" t="str">
        <f>IF(O193="","",(O193/(N193)*365))</f>
        <v/>
      </c>
      <c r="Q193" s="10"/>
    </row>
    <row r="194" spans="1:17" x14ac:dyDescent="0.15">
      <c r="A194" s="21"/>
      <c r="B194" s="20"/>
      <c r="C194" s="20"/>
      <c r="D194" s="20"/>
      <c r="E194" s="20"/>
      <c r="F194" s="21"/>
      <c r="G194" s="22"/>
      <c r="H194" s="11"/>
      <c r="I194" s="15"/>
      <c r="J194" s="15"/>
      <c r="K194" s="14"/>
      <c r="L194" s="22"/>
      <c r="M194" s="32" t="str">
        <f t="shared" si="0"/>
        <v/>
      </c>
      <c r="N194" s="16" t="str">
        <f t="shared" si="1"/>
        <v/>
      </c>
      <c r="O194" s="17" t="str">
        <f>IF(J194="","",M194/L194)</f>
        <v/>
      </c>
      <c r="P194" s="18" t="str">
        <f>IF(O194="","",(O194/(N194)*365))</f>
        <v/>
      </c>
      <c r="Q194" s="19"/>
    </row>
    <row r="195" spans="1:17" x14ac:dyDescent="0.15">
      <c r="A195" s="23"/>
      <c r="B195" s="3"/>
      <c r="C195" s="3"/>
      <c r="D195" s="3"/>
      <c r="E195" s="3"/>
      <c r="F195" s="23"/>
      <c r="G195" s="24"/>
      <c r="H195" s="1"/>
      <c r="I195" s="6"/>
      <c r="J195" s="6"/>
      <c r="K195" s="5"/>
      <c r="L195" s="24"/>
      <c r="M195" s="31" t="str">
        <f t="shared" si="0"/>
        <v/>
      </c>
      <c r="N195" s="7" t="str">
        <f t="shared" si="1"/>
        <v/>
      </c>
      <c r="O195" s="8" t="str">
        <f>IF(J195="","",M195/L195)</f>
        <v/>
      </c>
      <c r="P195" s="9" t="str">
        <f>IF(O195="","",(O195/(N195)*365))</f>
        <v/>
      </c>
      <c r="Q195" s="10"/>
    </row>
    <row r="196" spans="1:17" x14ac:dyDescent="0.15">
      <c r="A196" s="21"/>
      <c r="B196" s="20"/>
      <c r="C196" s="20"/>
      <c r="D196" s="20"/>
      <c r="E196" s="20"/>
      <c r="F196" s="21"/>
      <c r="G196" s="22"/>
      <c r="H196" s="11"/>
      <c r="I196" s="15"/>
      <c r="J196" s="15"/>
      <c r="K196" s="14"/>
      <c r="L196" s="22"/>
      <c r="M196" s="32" t="str">
        <f t="shared" si="0"/>
        <v/>
      </c>
      <c r="N196" s="16" t="str">
        <f t="shared" si="1"/>
        <v/>
      </c>
      <c r="O196" s="17" t="str">
        <f>IF(J196="","",M196/L196)</f>
        <v/>
      </c>
      <c r="P196" s="18" t="str">
        <f>IF(O196="","",(O196/(N196)*365))</f>
        <v/>
      </c>
      <c r="Q196" s="19"/>
    </row>
    <row r="197" spans="1:17" x14ac:dyDescent="0.15">
      <c r="A197" s="23"/>
      <c r="B197" s="3"/>
      <c r="C197" s="3"/>
      <c r="D197" s="3"/>
      <c r="E197" s="3"/>
      <c r="F197" s="23"/>
      <c r="G197" s="24"/>
      <c r="H197" s="1"/>
      <c r="I197" s="6"/>
      <c r="J197" s="6"/>
      <c r="K197" s="5"/>
      <c r="L197" s="24"/>
      <c r="M197" s="31" t="str">
        <f t="shared" si="0"/>
        <v/>
      </c>
      <c r="N197" s="7" t="str">
        <f t="shared" si="1"/>
        <v/>
      </c>
      <c r="O197" s="8" t="str">
        <f>IF(J197="","",M197/L197)</f>
        <v/>
      </c>
      <c r="P197" s="9" t="str">
        <f>IF(O197="","",(O197/(N197)*365))</f>
        <v/>
      </c>
      <c r="Q197" s="10"/>
    </row>
    <row r="198" spans="1:17" x14ac:dyDescent="0.15">
      <c r="A198" s="21"/>
      <c r="B198" s="20"/>
      <c r="C198" s="20"/>
      <c r="D198" s="20"/>
      <c r="E198" s="20"/>
      <c r="F198" s="21"/>
      <c r="G198" s="22"/>
      <c r="H198" s="11"/>
      <c r="I198" s="15"/>
      <c r="J198" s="15"/>
      <c r="K198" s="14"/>
      <c r="L198" s="22"/>
      <c r="M198" s="32" t="str">
        <f t="shared" si="0"/>
        <v/>
      </c>
      <c r="N198" s="16" t="str">
        <f t="shared" si="1"/>
        <v/>
      </c>
      <c r="O198" s="17" t="str">
        <f>IF(J198="","",M198/L198)</f>
        <v/>
      </c>
      <c r="P198" s="18" t="str">
        <f>IF(O198="","",(O198/(N198)*365))</f>
        <v/>
      </c>
      <c r="Q198" s="19"/>
    </row>
    <row r="199" spans="1:17" x14ac:dyDescent="0.15">
      <c r="A199" s="23"/>
      <c r="B199" s="3"/>
      <c r="C199" s="3"/>
      <c r="D199" s="3"/>
      <c r="E199" s="3"/>
      <c r="F199" s="23"/>
      <c r="G199" s="24"/>
      <c r="H199" s="1"/>
      <c r="I199" s="6"/>
      <c r="J199" s="6"/>
      <c r="K199" s="5"/>
      <c r="L199" s="24"/>
      <c r="M199" s="31" t="str">
        <f t="shared" si="0"/>
        <v/>
      </c>
      <c r="N199" s="7" t="str">
        <f t="shared" si="1"/>
        <v/>
      </c>
      <c r="O199" s="8" t="str">
        <f>IF(J199="","",M199/L199)</f>
        <v/>
      </c>
      <c r="P199" s="9" t="str">
        <f>IF(O199="","",(O199/(N199)*365))</f>
        <v/>
      </c>
      <c r="Q199" s="10"/>
    </row>
    <row r="200" spans="1:17" x14ac:dyDescent="0.15">
      <c r="A200" s="21"/>
      <c r="B200" s="20"/>
      <c r="C200" s="20"/>
      <c r="D200" s="20"/>
      <c r="E200" s="20"/>
      <c r="F200" s="21"/>
      <c r="G200" s="22"/>
      <c r="H200" s="11"/>
      <c r="I200" s="15"/>
      <c r="J200" s="15"/>
      <c r="K200" s="14"/>
      <c r="L200" s="22"/>
      <c r="M200" s="32" t="str">
        <f t="shared" si="0"/>
        <v/>
      </c>
      <c r="N200" s="16" t="str">
        <f t="shared" si="1"/>
        <v/>
      </c>
      <c r="O200" s="17" t="str">
        <f>IF(J200="","",M200/L200)</f>
        <v/>
      </c>
      <c r="P200" s="18" t="str">
        <f>IF(O200="","",(O200/(N200)*365))</f>
        <v/>
      </c>
      <c r="Q200" s="19"/>
    </row>
    <row r="201" spans="1:17" x14ac:dyDescent="0.15">
      <c r="A201" s="23"/>
      <c r="B201" s="3"/>
      <c r="C201" s="3"/>
      <c r="D201" s="3"/>
      <c r="E201" s="3"/>
      <c r="F201" s="23"/>
      <c r="G201" s="24"/>
      <c r="H201" s="1"/>
      <c r="I201" s="6"/>
      <c r="J201" s="6"/>
      <c r="K201" s="5"/>
      <c r="L201" s="24"/>
      <c r="M201" s="31" t="str">
        <f t="shared" si="0"/>
        <v/>
      </c>
      <c r="N201" s="7" t="str">
        <f t="shared" si="1"/>
        <v/>
      </c>
      <c r="O201" s="8" t="str">
        <f>IF(J201="","",M201/L201)</f>
        <v/>
      </c>
      <c r="P201" s="9" t="str">
        <f>IF(O201="","",(O201/(N201)*365))</f>
        <v/>
      </c>
      <c r="Q201" s="10"/>
    </row>
    <row r="202" spans="1:17" x14ac:dyDescent="0.15">
      <c r="A202" s="21"/>
      <c r="B202" s="20"/>
      <c r="C202" s="20"/>
      <c r="D202" s="20"/>
      <c r="E202" s="20"/>
      <c r="F202" s="21"/>
      <c r="G202" s="22"/>
      <c r="H202" s="11"/>
      <c r="I202" s="15"/>
      <c r="J202" s="15"/>
      <c r="K202" s="14"/>
      <c r="L202" s="22"/>
      <c r="M202" s="32" t="str">
        <f t="shared" si="0"/>
        <v/>
      </c>
      <c r="N202" s="16" t="str">
        <f t="shared" si="1"/>
        <v/>
      </c>
      <c r="O202" s="17" t="str">
        <f>IF(J202="","",M202/L202)</f>
        <v/>
      </c>
      <c r="P202" s="18" t="str">
        <f>IF(O202="","",(O202/(N202)*365))</f>
        <v/>
      </c>
      <c r="Q202" s="19"/>
    </row>
    <row r="203" spans="1:17" x14ac:dyDescent="0.15">
      <c r="A203" s="23"/>
      <c r="B203" s="3"/>
      <c r="C203" s="3"/>
      <c r="D203" s="3"/>
      <c r="E203" s="3"/>
      <c r="F203" s="23"/>
      <c r="G203" s="24"/>
      <c r="H203" s="1"/>
      <c r="I203" s="6"/>
      <c r="J203" s="6"/>
      <c r="K203" s="5"/>
      <c r="L203" s="24"/>
      <c r="M203" s="31" t="str">
        <f t="shared" si="0"/>
        <v/>
      </c>
      <c r="N203" s="7" t="str">
        <f t="shared" si="1"/>
        <v/>
      </c>
      <c r="O203" s="8" t="str">
        <f>IF(J203="","",M203/L203)</f>
        <v/>
      </c>
      <c r="P203" s="9" t="str">
        <f>IF(O203="","",(O203/(N203)*365))</f>
        <v/>
      </c>
      <c r="Q203" s="10"/>
    </row>
    <row r="204" spans="1:17" x14ac:dyDescent="0.15">
      <c r="A204" s="21"/>
      <c r="B204" s="20"/>
      <c r="C204" s="20"/>
      <c r="D204" s="20"/>
      <c r="E204" s="20"/>
      <c r="F204" s="21"/>
      <c r="G204" s="22"/>
      <c r="H204" s="11"/>
      <c r="I204" s="15"/>
      <c r="J204" s="15"/>
      <c r="K204" s="14"/>
      <c r="L204" s="22"/>
      <c r="M204" s="32" t="str">
        <f t="shared" si="0"/>
        <v/>
      </c>
      <c r="N204" s="16" t="str">
        <f t="shared" si="1"/>
        <v/>
      </c>
      <c r="O204" s="17" t="str">
        <f>IF(J204="","",M204/L204)</f>
        <v/>
      </c>
      <c r="P204" s="18" t="str">
        <f>IF(O204="","",(O204/(N204)*365))</f>
        <v/>
      </c>
      <c r="Q204" s="19"/>
    </row>
    <row r="205" spans="1:17" x14ac:dyDescent="0.15">
      <c r="A205" s="23"/>
      <c r="B205" s="3"/>
      <c r="C205" s="3"/>
      <c r="D205" s="3"/>
      <c r="E205" s="3"/>
      <c r="F205" s="23"/>
      <c r="G205" s="24"/>
      <c r="H205" s="1"/>
      <c r="I205" s="6"/>
      <c r="J205" s="6"/>
      <c r="K205" s="5"/>
      <c r="L205" s="24"/>
      <c r="M205" s="31" t="str">
        <f t="shared" si="0"/>
        <v/>
      </c>
      <c r="N205" s="7" t="str">
        <f t="shared" si="1"/>
        <v/>
      </c>
      <c r="O205" s="8" t="str">
        <f>IF(J205="","",M205/L205)</f>
        <v/>
      </c>
      <c r="P205" s="9" t="str">
        <f>IF(O205="","",(O205/(N205)*365))</f>
        <v/>
      </c>
      <c r="Q205" s="10"/>
    </row>
    <row r="206" spans="1:17" x14ac:dyDescent="0.15">
      <c r="A206" s="21"/>
      <c r="B206" s="20"/>
      <c r="C206" s="20"/>
      <c r="D206" s="20"/>
      <c r="E206" s="20"/>
      <c r="F206" s="21"/>
      <c r="G206" s="22"/>
      <c r="H206" s="11"/>
      <c r="I206" s="15"/>
      <c r="J206" s="15"/>
      <c r="K206" s="14"/>
      <c r="L206" s="22"/>
      <c r="M206" s="32" t="str">
        <f t="shared" si="0"/>
        <v/>
      </c>
      <c r="N206" s="16" t="str">
        <f t="shared" si="1"/>
        <v/>
      </c>
      <c r="O206" s="17" t="str">
        <f>IF(J206="","",M206/L206)</f>
        <v/>
      </c>
      <c r="P206" s="18" t="str">
        <f>IF(O206="","",(O206/(N206)*365))</f>
        <v/>
      </c>
      <c r="Q206" s="19"/>
    </row>
    <row r="207" spans="1:17" x14ac:dyDescent="0.15">
      <c r="A207" s="23"/>
      <c r="B207" s="3"/>
      <c r="C207" s="3"/>
      <c r="D207" s="3"/>
      <c r="E207" s="3"/>
      <c r="F207" s="23"/>
      <c r="G207" s="24"/>
      <c r="H207" s="1"/>
      <c r="I207" s="6"/>
      <c r="J207" s="6"/>
      <c r="K207" s="5"/>
      <c r="L207" s="24"/>
      <c r="M207" s="31" t="str">
        <f t="shared" si="0"/>
        <v/>
      </c>
      <c r="N207" s="7" t="str">
        <f t="shared" si="1"/>
        <v/>
      </c>
      <c r="O207" s="8" t="str">
        <f>IF(J207="","",M207/L207)</f>
        <v/>
      </c>
      <c r="P207" s="9" t="str">
        <f>IF(O207="","",(O207/(N207)*365))</f>
        <v/>
      </c>
      <c r="Q207" s="10"/>
    </row>
    <row r="208" spans="1:17" x14ac:dyDescent="0.15">
      <c r="A208" s="21"/>
      <c r="B208" s="20"/>
      <c r="C208" s="20"/>
      <c r="D208" s="20"/>
      <c r="E208" s="20"/>
      <c r="F208" s="21"/>
      <c r="G208" s="22"/>
      <c r="H208" s="11"/>
      <c r="I208" s="15"/>
      <c r="J208" s="15"/>
      <c r="K208" s="14"/>
      <c r="L208" s="22"/>
      <c r="M208" s="32" t="str">
        <f t="shared" si="0"/>
        <v/>
      </c>
      <c r="N208" s="16" t="str">
        <f t="shared" si="1"/>
        <v/>
      </c>
      <c r="O208" s="17" t="str">
        <f>IF(J208="","",M208/L208)</f>
        <v/>
      </c>
      <c r="P208" s="18" t="str">
        <f>IF(O208="","",(O208/(N208)*365))</f>
        <v/>
      </c>
      <c r="Q208" s="19"/>
    </row>
    <row r="209" spans="1:17" x14ac:dyDescent="0.15">
      <c r="A209" s="23"/>
      <c r="B209" s="3"/>
      <c r="C209" s="3"/>
      <c r="D209" s="3"/>
      <c r="E209" s="3"/>
      <c r="F209" s="23"/>
      <c r="G209" s="24"/>
      <c r="H209" s="1"/>
      <c r="I209" s="6"/>
      <c r="J209" s="6"/>
      <c r="K209" s="5"/>
      <c r="L209" s="24"/>
      <c r="M209" s="31" t="str">
        <f t="shared" si="0"/>
        <v/>
      </c>
      <c r="N209" s="7" t="str">
        <f t="shared" si="1"/>
        <v/>
      </c>
      <c r="O209" s="8" t="str">
        <f>IF(J209="","",M209/L209)</f>
        <v/>
      </c>
      <c r="P209" s="9" t="str">
        <f>IF(O209="","",(O209/(N209)*365))</f>
        <v/>
      </c>
      <c r="Q209" s="10"/>
    </row>
    <row r="210" spans="1:17" x14ac:dyDescent="0.15">
      <c r="A210" s="21"/>
      <c r="B210" s="20"/>
      <c r="C210" s="20"/>
      <c r="D210" s="20"/>
      <c r="E210" s="20"/>
      <c r="F210" s="21"/>
      <c r="G210" s="22"/>
      <c r="H210" s="11"/>
      <c r="I210" s="15"/>
      <c r="J210" s="15"/>
      <c r="K210" s="14"/>
      <c r="L210" s="22"/>
      <c r="M210" s="32" t="str">
        <f t="shared" si="0"/>
        <v/>
      </c>
      <c r="N210" s="16" t="str">
        <f t="shared" si="1"/>
        <v/>
      </c>
      <c r="O210" s="17" t="str">
        <f>IF(J210="","",M210/L210)</f>
        <v/>
      </c>
      <c r="P210" s="18" t="str">
        <f>IF(O210="","",(O210/(N210)*365))</f>
        <v/>
      </c>
      <c r="Q210" s="19"/>
    </row>
    <row r="211" spans="1:17" x14ac:dyDescent="0.15">
      <c r="A211" s="23"/>
      <c r="B211" s="3"/>
      <c r="C211" s="3"/>
      <c r="D211" s="3"/>
      <c r="E211" s="3"/>
      <c r="F211" s="23"/>
      <c r="G211" s="24"/>
      <c r="H211" s="1"/>
      <c r="I211" s="6"/>
      <c r="J211" s="6"/>
      <c r="K211" s="5"/>
      <c r="L211" s="24"/>
      <c r="M211" s="31" t="str">
        <f t="shared" si="0"/>
        <v/>
      </c>
      <c r="N211" s="7" t="str">
        <f t="shared" si="1"/>
        <v/>
      </c>
      <c r="O211" s="8" t="str">
        <f>IF(J211="","",M211/L211)</f>
        <v/>
      </c>
      <c r="P211" s="9" t="str">
        <f>IF(O211="","",(O211/(N211)*365))</f>
        <v/>
      </c>
      <c r="Q211" s="10"/>
    </row>
    <row r="212" spans="1:17" x14ac:dyDescent="0.15">
      <c r="A212" s="21"/>
      <c r="B212" s="20"/>
      <c r="C212" s="20"/>
      <c r="D212" s="20"/>
      <c r="E212" s="20"/>
      <c r="F212" s="21"/>
      <c r="G212" s="22"/>
      <c r="H212" s="11"/>
      <c r="I212" s="15"/>
      <c r="J212" s="15"/>
      <c r="K212" s="14"/>
      <c r="L212" s="22"/>
      <c r="M212" s="32" t="str">
        <f t="shared" si="0"/>
        <v/>
      </c>
      <c r="N212" s="16" t="str">
        <f t="shared" si="1"/>
        <v/>
      </c>
      <c r="O212" s="17" t="str">
        <f>IF(J212="","",M212/L212)</f>
        <v/>
      </c>
      <c r="P212" s="18" t="str">
        <f>IF(O212="","",(O212/(N212)*365))</f>
        <v/>
      </c>
      <c r="Q212" s="19"/>
    </row>
    <row r="213" spans="1:17" x14ac:dyDescent="0.15">
      <c r="A213" s="23"/>
      <c r="B213" s="3"/>
      <c r="C213" s="3"/>
      <c r="D213" s="3"/>
      <c r="E213" s="3"/>
      <c r="F213" s="23"/>
      <c r="G213" s="24"/>
      <c r="H213" s="1"/>
      <c r="I213" s="6"/>
      <c r="J213" s="6"/>
      <c r="K213" s="5"/>
      <c r="L213" s="24"/>
      <c r="M213" s="31" t="str">
        <f t="shared" si="0"/>
        <v/>
      </c>
      <c r="N213" s="7" t="str">
        <f t="shared" si="1"/>
        <v/>
      </c>
      <c r="O213" s="8" t="str">
        <f>IF(J213="","",M213/L213)</f>
        <v/>
      </c>
      <c r="P213" s="9" t="str">
        <f>IF(O213="","",(O213/(N213)*365))</f>
        <v/>
      </c>
      <c r="Q213" s="10"/>
    </row>
    <row r="214" spans="1:17" x14ac:dyDescent="0.15">
      <c r="A214" s="21"/>
      <c r="B214" s="20"/>
      <c r="C214" s="20"/>
      <c r="D214" s="20"/>
      <c r="E214" s="20"/>
      <c r="F214" s="21"/>
      <c r="G214" s="22"/>
      <c r="H214" s="11"/>
      <c r="I214" s="15"/>
      <c r="J214" s="15"/>
      <c r="K214" s="14"/>
      <c r="L214" s="22"/>
      <c r="M214" s="32" t="str">
        <f t="shared" si="0"/>
        <v/>
      </c>
      <c r="N214" s="16" t="str">
        <f t="shared" si="1"/>
        <v/>
      </c>
      <c r="O214" s="17" t="str">
        <f>IF(J214="","",M214/L214)</f>
        <v/>
      </c>
      <c r="P214" s="18" t="str">
        <f>IF(O214="","",(O214/(N214)*365))</f>
        <v/>
      </c>
      <c r="Q214" s="19"/>
    </row>
    <row r="215" spans="1:17" x14ac:dyDescent="0.15">
      <c r="A215" s="23"/>
      <c r="B215" s="3"/>
      <c r="C215" s="3"/>
      <c r="D215" s="3"/>
      <c r="E215" s="3"/>
      <c r="F215" s="23"/>
      <c r="G215" s="24"/>
      <c r="H215" s="1"/>
      <c r="I215" s="6"/>
      <c r="J215" s="6"/>
      <c r="K215" s="5"/>
      <c r="L215" s="24"/>
      <c r="M215" s="31" t="str">
        <f t="shared" si="0"/>
        <v/>
      </c>
      <c r="N215" s="7" t="str">
        <f t="shared" si="1"/>
        <v/>
      </c>
      <c r="O215" s="8" t="str">
        <f>IF(J215="","",M215/L215)</f>
        <v/>
      </c>
      <c r="P215" s="9" t="str">
        <f>IF(O215="","",(O215/(N215)*365))</f>
        <v/>
      </c>
      <c r="Q215" s="10"/>
    </row>
    <row r="216" spans="1:17" x14ac:dyDescent="0.15">
      <c r="A216" s="21"/>
      <c r="B216" s="20"/>
      <c r="C216" s="20"/>
      <c r="D216" s="20"/>
      <c r="E216" s="20"/>
      <c r="F216" s="21"/>
      <c r="G216" s="22"/>
      <c r="H216" s="11"/>
      <c r="I216" s="15"/>
      <c r="J216" s="15"/>
      <c r="K216" s="14"/>
      <c r="L216" s="22"/>
      <c r="M216" s="32" t="str">
        <f t="shared" si="0"/>
        <v/>
      </c>
      <c r="N216" s="16" t="str">
        <f t="shared" si="1"/>
        <v/>
      </c>
      <c r="O216" s="17" t="str">
        <f>IF(J216="","",M216/L216)</f>
        <v/>
      </c>
      <c r="P216" s="18" t="str">
        <f>IF(O216="","",(O216/(N216)*365))</f>
        <v/>
      </c>
      <c r="Q216" s="19"/>
    </row>
    <row r="217" spans="1:17" x14ac:dyDescent="0.15">
      <c r="A217" s="23"/>
      <c r="B217" s="3"/>
      <c r="C217" s="3"/>
      <c r="D217" s="3"/>
      <c r="E217" s="3"/>
      <c r="F217" s="23"/>
      <c r="G217" s="24"/>
      <c r="H217" s="1"/>
      <c r="I217" s="6"/>
      <c r="J217" s="6"/>
      <c r="K217" s="5"/>
      <c r="L217" s="24"/>
      <c r="M217" s="31" t="str">
        <f t="shared" si="0"/>
        <v/>
      </c>
      <c r="N217" s="7" t="str">
        <f t="shared" si="1"/>
        <v/>
      </c>
      <c r="O217" s="8" t="str">
        <f>IF(J217="","",M217/L217)</f>
        <v/>
      </c>
      <c r="P217" s="9" t="str">
        <f>IF(O217="","",(O217/(N217)*365))</f>
        <v/>
      </c>
      <c r="Q217" s="10"/>
    </row>
    <row r="218" spans="1:17" x14ac:dyDescent="0.15">
      <c r="A218" s="21"/>
      <c r="B218" s="20"/>
      <c r="C218" s="20"/>
      <c r="D218" s="20"/>
      <c r="E218" s="20"/>
      <c r="F218" s="21"/>
      <c r="G218" s="22"/>
      <c r="H218" s="11"/>
      <c r="I218" s="15"/>
      <c r="J218" s="15"/>
      <c r="K218" s="14"/>
      <c r="L218" s="22"/>
      <c r="M218" s="32" t="str">
        <f t="shared" si="0"/>
        <v/>
      </c>
      <c r="N218" s="16" t="str">
        <f t="shared" si="1"/>
        <v/>
      </c>
      <c r="O218" s="17" t="str">
        <f>IF(J218="","",M218/L218)</f>
        <v/>
      </c>
      <c r="P218" s="18" t="str">
        <f>IF(O218="","",(O218/(N218)*365))</f>
        <v/>
      </c>
      <c r="Q218" s="19"/>
    </row>
    <row r="219" spans="1:17" x14ac:dyDescent="0.15">
      <c r="A219" s="23"/>
      <c r="B219" s="3"/>
      <c r="C219" s="3"/>
      <c r="D219" s="3"/>
      <c r="E219" s="3"/>
      <c r="F219" s="23"/>
      <c r="G219" s="24"/>
      <c r="H219" s="1"/>
      <c r="I219" s="6"/>
      <c r="J219" s="6"/>
      <c r="K219" s="5"/>
      <c r="L219" s="24"/>
      <c r="M219" s="31" t="str">
        <f t="shared" si="0"/>
        <v/>
      </c>
      <c r="N219" s="7" t="str">
        <f t="shared" si="1"/>
        <v/>
      </c>
      <c r="O219" s="8" t="str">
        <f>IF(J219="","",M219/L219)</f>
        <v/>
      </c>
      <c r="P219" s="9" t="str">
        <f>IF(O219="","",(O219/(N219)*365))</f>
        <v/>
      </c>
      <c r="Q219" s="10"/>
    </row>
    <row r="220" spans="1:17" x14ac:dyDescent="0.15">
      <c r="A220" s="21"/>
      <c r="B220" s="20"/>
      <c r="C220" s="20"/>
      <c r="D220" s="20"/>
      <c r="E220" s="20"/>
      <c r="F220" s="21"/>
      <c r="G220" s="22"/>
      <c r="H220" s="11"/>
      <c r="I220" s="15"/>
      <c r="J220" s="15"/>
      <c r="K220" s="14"/>
      <c r="L220" s="22"/>
      <c r="M220" s="32" t="str">
        <f t="shared" si="0"/>
        <v/>
      </c>
      <c r="N220" s="16" t="str">
        <f t="shared" si="1"/>
        <v/>
      </c>
      <c r="O220" s="17" t="str">
        <f>IF(J220="","",M220/L220)</f>
        <v/>
      </c>
      <c r="P220" s="18" t="str">
        <f>IF(O220="","",(O220/(N220)*365))</f>
        <v/>
      </c>
      <c r="Q220" s="19"/>
    </row>
    <row r="221" spans="1:17" x14ac:dyDescent="0.15">
      <c r="A221" s="23"/>
      <c r="B221" s="3"/>
      <c r="C221" s="3"/>
      <c r="D221" s="3"/>
      <c r="E221" s="3"/>
      <c r="F221" s="23"/>
      <c r="G221" s="24"/>
      <c r="H221" s="1"/>
      <c r="I221" s="6"/>
      <c r="J221" s="6"/>
      <c r="K221" s="5"/>
      <c r="L221" s="24"/>
      <c r="M221" s="31" t="str">
        <f t="shared" si="0"/>
        <v/>
      </c>
      <c r="N221" s="7" t="str">
        <f t="shared" si="1"/>
        <v/>
      </c>
      <c r="O221" s="8" t="str">
        <f>IF(J221="","",M221/L221)</f>
        <v/>
      </c>
      <c r="P221" s="9" t="str">
        <f>IF(O221="","",(O221/(N221)*365))</f>
        <v/>
      </c>
      <c r="Q221" s="10"/>
    </row>
    <row r="222" spans="1:17" x14ac:dyDescent="0.15">
      <c r="A222" s="21"/>
      <c r="B222" s="20"/>
      <c r="C222" s="20"/>
      <c r="D222" s="20"/>
      <c r="E222" s="20"/>
      <c r="F222" s="21"/>
      <c r="G222" s="22"/>
      <c r="H222" s="11"/>
      <c r="I222" s="15"/>
      <c r="J222" s="15"/>
      <c r="K222" s="14"/>
      <c r="L222" s="22"/>
      <c r="M222" s="32" t="str">
        <f t="shared" si="0"/>
        <v/>
      </c>
      <c r="N222" s="16" t="str">
        <f t="shared" si="1"/>
        <v/>
      </c>
      <c r="O222" s="17" t="str">
        <f>IF(J222="","",M222/L222)</f>
        <v/>
      </c>
      <c r="P222" s="18" t="str">
        <f>IF(O222="","",(O222/(N222)*365))</f>
        <v/>
      </c>
      <c r="Q222" s="19"/>
    </row>
    <row r="223" spans="1:17" x14ac:dyDescent="0.15">
      <c r="A223" s="23"/>
      <c r="B223" s="3"/>
      <c r="C223" s="3"/>
      <c r="D223" s="3"/>
      <c r="E223" s="3"/>
      <c r="F223" s="23"/>
      <c r="G223" s="24"/>
      <c r="H223" s="1"/>
      <c r="I223" s="6"/>
      <c r="J223" s="6"/>
      <c r="K223" s="5"/>
      <c r="L223" s="24"/>
      <c r="M223" s="31" t="str">
        <f t="shared" si="0"/>
        <v/>
      </c>
      <c r="N223" s="7" t="str">
        <f t="shared" si="1"/>
        <v/>
      </c>
      <c r="O223" s="8" t="str">
        <f>IF(J223="","",M223/L223)</f>
        <v/>
      </c>
      <c r="P223" s="9" t="str">
        <f>IF(O223="","",(O223/(N223)*365))</f>
        <v/>
      </c>
      <c r="Q223" s="10"/>
    </row>
    <row r="224" spans="1:17" x14ac:dyDescent="0.15">
      <c r="A224" s="21"/>
      <c r="B224" s="20"/>
      <c r="C224" s="20"/>
      <c r="D224" s="20"/>
      <c r="E224" s="20"/>
      <c r="F224" s="21"/>
      <c r="G224" s="22"/>
      <c r="H224" s="11"/>
      <c r="I224" s="15"/>
      <c r="J224" s="15"/>
      <c r="K224" s="14"/>
      <c r="L224" s="22"/>
      <c r="M224" s="32" t="str">
        <f t="shared" si="0"/>
        <v/>
      </c>
      <c r="N224" s="16" t="str">
        <f t="shared" si="1"/>
        <v/>
      </c>
      <c r="O224" s="17" t="str">
        <f>IF(J224="","",M224/L224)</f>
        <v/>
      </c>
      <c r="P224" s="18" t="str">
        <f>IF(O224="","",(O224/(N224)*365))</f>
        <v/>
      </c>
      <c r="Q224" s="19"/>
    </row>
    <row r="225" spans="1:17" x14ac:dyDescent="0.15">
      <c r="A225" s="23"/>
      <c r="B225" s="3"/>
      <c r="C225" s="3"/>
      <c r="D225" s="3"/>
      <c r="E225" s="3"/>
      <c r="F225" s="23"/>
      <c r="G225" s="24"/>
      <c r="H225" s="1"/>
      <c r="I225" s="6"/>
      <c r="J225" s="6"/>
      <c r="K225" s="5"/>
      <c r="L225" s="24"/>
      <c r="M225" s="31" t="str">
        <f t="shared" si="0"/>
        <v/>
      </c>
      <c r="N225" s="7" t="str">
        <f t="shared" si="1"/>
        <v/>
      </c>
      <c r="O225" s="8" t="str">
        <f>IF(J225="","",M225/L225)</f>
        <v/>
      </c>
      <c r="P225" s="9" t="str">
        <f>IF(O225="","",(O225/(N225)*365))</f>
        <v/>
      </c>
      <c r="Q225" s="10"/>
    </row>
    <row r="226" spans="1:17" x14ac:dyDescent="0.15">
      <c r="A226" s="21"/>
      <c r="B226" s="20"/>
      <c r="C226" s="20"/>
      <c r="D226" s="20"/>
      <c r="E226" s="20"/>
      <c r="F226" s="21"/>
      <c r="G226" s="22"/>
      <c r="H226" s="11"/>
      <c r="I226" s="15"/>
      <c r="J226" s="15"/>
      <c r="K226" s="14"/>
      <c r="L226" s="22"/>
      <c r="M226" s="32" t="str">
        <f t="shared" si="0"/>
        <v/>
      </c>
      <c r="N226" s="16" t="str">
        <f t="shared" si="1"/>
        <v/>
      </c>
      <c r="O226" s="17" t="str">
        <f>IF(J226="","",M226/L226)</f>
        <v/>
      </c>
      <c r="P226" s="18" t="str">
        <f>IF(O226="","",(O226/(N226)*365))</f>
        <v/>
      </c>
      <c r="Q226" s="19"/>
    </row>
    <row r="227" spans="1:17" x14ac:dyDescent="0.15">
      <c r="A227" s="23"/>
      <c r="B227" s="3"/>
      <c r="C227" s="3"/>
      <c r="D227" s="3"/>
      <c r="E227" s="3"/>
      <c r="F227" s="23"/>
      <c r="G227" s="24"/>
      <c r="H227" s="1"/>
      <c r="I227" s="6"/>
      <c r="J227" s="6"/>
      <c r="K227" s="5"/>
      <c r="L227" s="24"/>
      <c r="M227" s="31" t="str">
        <f t="shared" si="0"/>
        <v/>
      </c>
      <c r="N227" s="7" t="str">
        <f t="shared" si="1"/>
        <v/>
      </c>
      <c r="O227" s="8" t="str">
        <f>IF(J227="","",M227/L227)</f>
        <v/>
      </c>
      <c r="P227" s="9" t="str">
        <f>IF(O227="","",(O227/(N227)*365))</f>
        <v/>
      </c>
      <c r="Q227" s="10"/>
    </row>
    <row r="228" spans="1:17" x14ac:dyDescent="0.15">
      <c r="A228" s="21"/>
      <c r="B228" s="20"/>
      <c r="C228" s="20"/>
      <c r="D228" s="20"/>
      <c r="E228" s="20"/>
      <c r="F228" s="21"/>
      <c r="G228" s="22"/>
      <c r="H228" s="11"/>
      <c r="I228" s="15"/>
      <c r="J228" s="15"/>
      <c r="K228" s="14"/>
      <c r="L228" s="22"/>
      <c r="M228" s="32" t="str">
        <f t="shared" si="0"/>
        <v/>
      </c>
      <c r="N228" s="16" t="str">
        <f t="shared" si="1"/>
        <v/>
      </c>
      <c r="O228" s="17" t="str">
        <f>IF(J228="","",M228/L228)</f>
        <v/>
      </c>
      <c r="P228" s="18" t="str">
        <f>IF(O228="","",(O228/(N228)*365))</f>
        <v/>
      </c>
      <c r="Q228" s="19"/>
    </row>
    <row r="229" spans="1:17" x14ac:dyDescent="0.15">
      <c r="A229" s="23"/>
      <c r="B229" s="3"/>
      <c r="C229" s="3"/>
      <c r="D229" s="3"/>
      <c r="E229" s="3"/>
      <c r="F229" s="23"/>
      <c r="G229" s="24"/>
      <c r="H229" s="1"/>
      <c r="I229" s="6"/>
      <c r="J229" s="6"/>
      <c r="K229" s="5"/>
      <c r="L229" s="24"/>
      <c r="M229" s="31" t="str">
        <f t="shared" si="0"/>
        <v/>
      </c>
      <c r="N229" s="7" t="str">
        <f t="shared" si="1"/>
        <v/>
      </c>
      <c r="O229" s="8" t="str">
        <f>IF(J229="","",M229/L229)</f>
        <v/>
      </c>
      <c r="P229" s="9" t="str">
        <f>IF(O229="","",(O229/(N229)*365))</f>
        <v/>
      </c>
      <c r="Q229" s="10"/>
    </row>
    <row r="230" spans="1:17" x14ac:dyDescent="0.15">
      <c r="A230" s="21"/>
      <c r="B230" s="20"/>
      <c r="C230" s="20"/>
      <c r="D230" s="20"/>
      <c r="E230" s="20"/>
      <c r="F230" s="21"/>
      <c r="G230" s="22"/>
      <c r="H230" s="11"/>
      <c r="I230" s="15"/>
      <c r="J230" s="15"/>
      <c r="K230" s="14"/>
      <c r="L230" s="22"/>
      <c r="M230" s="32" t="str">
        <f t="shared" si="0"/>
        <v/>
      </c>
      <c r="N230" s="16" t="str">
        <f t="shared" si="1"/>
        <v/>
      </c>
      <c r="O230" s="17" t="str">
        <f>IF(J230="","",M230/L230)</f>
        <v/>
      </c>
      <c r="P230" s="18" t="str">
        <f>IF(O230="","",(O230/(N230)*365))</f>
        <v/>
      </c>
      <c r="Q230" s="19"/>
    </row>
    <row r="231" spans="1:17" x14ac:dyDescent="0.15">
      <c r="A231" s="23"/>
      <c r="B231" s="3"/>
      <c r="C231" s="3"/>
      <c r="D231" s="3"/>
      <c r="E231" s="3"/>
      <c r="F231" s="23"/>
      <c r="G231" s="24"/>
      <c r="H231" s="1"/>
      <c r="I231" s="6"/>
      <c r="J231" s="6"/>
      <c r="K231" s="5"/>
      <c r="L231" s="24"/>
      <c r="M231" s="31" t="str">
        <f t="shared" si="0"/>
        <v/>
      </c>
      <c r="N231" s="7" t="str">
        <f t="shared" si="1"/>
        <v/>
      </c>
      <c r="O231" s="8" t="str">
        <f>IF(J231="","",M231/L231)</f>
        <v/>
      </c>
      <c r="P231" s="9" t="str">
        <f>IF(O231="","",(O231/(N231)*365))</f>
        <v/>
      </c>
      <c r="Q231" s="10"/>
    </row>
    <row r="232" spans="1:17" x14ac:dyDescent="0.15">
      <c r="A232" s="21"/>
      <c r="B232" s="20"/>
      <c r="C232" s="20"/>
      <c r="D232" s="20"/>
      <c r="E232" s="20"/>
      <c r="F232" s="21"/>
      <c r="G232" s="22"/>
      <c r="H232" s="11"/>
      <c r="I232" s="15"/>
      <c r="J232" s="15"/>
      <c r="K232" s="14"/>
      <c r="L232" s="22"/>
      <c r="M232" s="32" t="str">
        <f t="shared" si="0"/>
        <v/>
      </c>
      <c r="N232" s="16" t="str">
        <f t="shared" si="1"/>
        <v/>
      </c>
      <c r="O232" s="17" t="str">
        <f>IF(J232="","",M232/L232)</f>
        <v/>
      </c>
      <c r="P232" s="18" t="str">
        <f>IF(O232="","",(O232/(N232)*365))</f>
        <v/>
      </c>
      <c r="Q232" s="19"/>
    </row>
    <row r="233" spans="1:17" x14ac:dyDescent="0.15">
      <c r="A233" s="23"/>
      <c r="B233" s="3"/>
      <c r="C233" s="3"/>
      <c r="D233" s="3"/>
      <c r="E233" s="3"/>
      <c r="F233" s="23"/>
      <c r="G233" s="24"/>
      <c r="H233" s="1"/>
      <c r="I233" s="6"/>
      <c r="J233" s="6"/>
      <c r="K233" s="5"/>
      <c r="L233" s="24"/>
      <c r="M233" s="31" t="str">
        <f t="shared" si="0"/>
        <v/>
      </c>
      <c r="N233" s="7" t="str">
        <f t="shared" si="1"/>
        <v/>
      </c>
      <c r="O233" s="8" t="str">
        <f>IF(J233="","",M233/L233)</f>
        <v/>
      </c>
      <c r="P233" s="9" t="str">
        <f>IF(O233="","",(O233/(N233)*365))</f>
        <v/>
      </c>
      <c r="Q233" s="10"/>
    </row>
    <row r="234" spans="1:17" x14ac:dyDescent="0.15">
      <c r="A234" s="21"/>
      <c r="B234" s="20"/>
      <c r="C234" s="20"/>
      <c r="D234" s="20"/>
      <c r="E234" s="20"/>
      <c r="F234" s="21"/>
      <c r="G234" s="22"/>
      <c r="H234" s="11"/>
      <c r="I234" s="15"/>
      <c r="J234" s="15"/>
      <c r="K234" s="14"/>
      <c r="L234" s="22"/>
      <c r="M234" s="32" t="str">
        <f t="shared" si="0"/>
        <v/>
      </c>
      <c r="N234" s="16" t="str">
        <f t="shared" si="1"/>
        <v/>
      </c>
      <c r="O234" s="17" t="str">
        <f>IF(J234="","",M234/L234)</f>
        <v/>
      </c>
      <c r="P234" s="18" t="str">
        <f>IF(O234="","",(O234/(N234)*365))</f>
        <v/>
      </c>
      <c r="Q234" s="19"/>
    </row>
    <row r="235" spans="1:17" x14ac:dyDescent="0.15">
      <c r="A235" s="23"/>
      <c r="B235" s="3"/>
      <c r="C235" s="3"/>
      <c r="D235" s="3"/>
      <c r="E235" s="3"/>
      <c r="F235" s="23"/>
      <c r="G235" s="24"/>
      <c r="H235" s="1"/>
      <c r="I235" s="6"/>
      <c r="J235" s="6"/>
      <c r="K235" s="5"/>
      <c r="L235" s="24"/>
      <c r="M235" s="31" t="str">
        <f t="shared" si="0"/>
        <v/>
      </c>
      <c r="N235" s="7" t="str">
        <f t="shared" si="1"/>
        <v/>
      </c>
      <c r="O235" s="8" t="str">
        <f>IF(J235="","",M235/L235)</f>
        <v/>
      </c>
      <c r="P235" s="9" t="str">
        <f>IF(O235="","",(O235/(N235)*365))</f>
        <v/>
      </c>
      <c r="Q235" s="10"/>
    </row>
    <row r="236" spans="1:17" x14ac:dyDescent="0.15">
      <c r="A236" s="21"/>
      <c r="B236" s="20"/>
      <c r="C236" s="20"/>
      <c r="D236" s="20"/>
      <c r="E236" s="20"/>
      <c r="F236" s="21"/>
      <c r="G236" s="22"/>
      <c r="H236" s="11"/>
      <c r="I236" s="15"/>
      <c r="J236" s="15"/>
      <c r="K236" s="14"/>
      <c r="L236" s="22"/>
      <c r="M236" s="32" t="str">
        <f t="shared" si="0"/>
        <v/>
      </c>
      <c r="N236" s="16" t="str">
        <f t="shared" si="1"/>
        <v/>
      </c>
      <c r="O236" s="17" t="str">
        <f>IF(J236="","",M236/L236)</f>
        <v/>
      </c>
      <c r="P236" s="18" t="str">
        <f>IF(O236="","",(O236/(N236)*365))</f>
        <v/>
      </c>
      <c r="Q236" s="19"/>
    </row>
    <row r="237" spans="1:17" x14ac:dyDescent="0.15">
      <c r="A237" s="23"/>
      <c r="B237" s="3"/>
      <c r="C237" s="3"/>
      <c r="D237" s="3"/>
      <c r="E237" s="3"/>
      <c r="F237" s="23"/>
      <c r="G237" s="24"/>
      <c r="H237" s="1"/>
      <c r="I237" s="6"/>
      <c r="J237" s="6"/>
      <c r="K237" s="5"/>
      <c r="L237" s="24"/>
      <c r="M237" s="31" t="str">
        <f t="shared" si="0"/>
        <v/>
      </c>
      <c r="N237" s="7" t="str">
        <f t="shared" si="1"/>
        <v/>
      </c>
      <c r="O237" s="8" t="str">
        <f>IF(J237="","",M237/L237)</f>
        <v/>
      </c>
      <c r="P237" s="9" t="str">
        <f>IF(O237="","",(O237/(N237)*365))</f>
        <v/>
      </c>
      <c r="Q237" s="10"/>
    </row>
    <row r="238" spans="1:17" x14ac:dyDescent="0.15">
      <c r="A238" s="21"/>
      <c r="B238" s="20"/>
      <c r="C238" s="20"/>
      <c r="D238" s="20"/>
      <c r="E238" s="20"/>
      <c r="F238" s="21"/>
      <c r="G238" s="22"/>
      <c r="H238" s="11"/>
      <c r="I238" s="15"/>
      <c r="J238" s="15"/>
      <c r="K238" s="14"/>
      <c r="L238" s="22"/>
      <c r="M238" s="32" t="str">
        <f t="shared" si="0"/>
        <v/>
      </c>
      <c r="N238" s="16" t="str">
        <f t="shared" si="1"/>
        <v/>
      </c>
      <c r="O238" s="17" t="str">
        <f>IF(J238="","",M238/L238)</f>
        <v/>
      </c>
      <c r="P238" s="18" t="str">
        <f>IF(O238="","",(O238/(N238)*365))</f>
        <v/>
      </c>
      <c r="Q238" s="19"/>
    </row>
    <row r="239" spans="1:17" x14ac:dyDescent="0.15">
      <c r="A239" s="23"/>
      <c r="B239" s="3"/>
      <c r="C239" s="3"/>
      <c r="D239" s="3"/>
      <c r="E239" s="3"/>
      <c r="F239" s="23"/>
      <c r="G239" s="24"/>
      <c r="H239" s="1"/>
      <c r="I239" s="6"/>
      <c r="J239" s="6"/>
      <c r="K239" s="5"/>
      <c r="L239" s="24"/>
      <c r="M239" s="31" t="str">
        <f t="shared" si="0"/>
        <v/>
      </c>
      <c r="N239" s="7" t="str">
        <f t="shared" si="1"/>
        <v/>
      </c>
      <c r="O239" s="8" t="str">
        <f>IF(J239="","",M239/L239)</f>
        <v/>
      </c>
      <c r="P239" s="9" t="str">
        <f>IF(O239="","",(O239/(N239)*365))</f>
        <v/>
      </c>
      <c r="Q239" s="10"/>
    </row>
    <row r="240" spans="1:17" x14ac:dyDescent="0.15">
      <c r="A240" s="21"/>
      <c r="B240" s="20"/>
      <c r="C240" s="20"/>
      <c r="D240" s="20"/>
      <c r="E240" s="20"/>
      <c r="F240" s="21"/>
      <c r="G240" s="22"/>
      <c r="H240" s="11"/>
      <c r="I240" s="15"/>
      <c r="J240" s="15"/>
      <c r="K240" s="14"/>
      <c r="L240" s="22"/>
      <c r="M240" s="32" t="str">
        <f t="shared" si="0"/>
        <v/>
      </c>
      <c r="N240" s="16" t="str">
        <f t="shared" si="1"/>
        <v/>
      </c>
      <c r="O240" s="17" t="str">
        <f>IF(J240="","",M240/L240)</f>
        <v/>
      </c>
      <c r="P240" s="18" t="str">
        <f>IF(O240="","",(O240/(N240)*365))</f>
        <v/>
      </c>
      <c r="Q240" s="19"/>
    </row>
    <row r="241" spans="1:17" x14ac:dyDescent="0.15">
      <c r="A241" s="23"/>
      <c r="B241" s="3"/>
      <c r="C241" s="3"/>
      <c r="D241" s="3"/>
      <c r="E241" s="3"/>
      <c r="F241" s="23"/>
      <c r="G241" s="24"/>
      <c r="H241" s="1"/>
      <c r="I241" s="6"/>
      <c r="J241" s="6"/>
      <c r="K241" s="5"/>
      <c r="L241" s="24"/>
      <c r="M241" s="31" t="str">
        <f t="shared" si="0"/>
        <v/>
      </c>
      <c r="N241" s="7" t="str">
        <f t="shared" si="1"/>
        <v/>
      </c>
      <c r="O241" s="8" t="str">
        <f>IF(J241="","",M241/L241)</f>
        <v/>
      </c>
      <c r="P241" s="9" t="str">
        <f>IF(O241="","",(O241/(N241)*365))</f>
        <v/>
      </c>
      <c r="Q241" s="10"/>
    </row>
    <row r="242" spans="1:17" x14ac:dyDescent="0.15">
      <c r="A242" s="21"/>
      <c r="B242" s="20"/>
      <c r="C242" s="20"/>
      <c r="D242" s="20"/>
      <c r="E242" s="20"/>
      <c r="F242" s="21"/>
      <c r="G242" s="22"/>
      <c r="H242" s="11"/>
      <c r="I242" s="15"/>
      <c r="J242" s="15"/>
      <c r="K242" s="14"/>
      <c r="L242" s="22"/>
      <c r="M242" s="32" t="str">
        <f t="shared" si="0"/>
        <v/>
      </c>
      <c r="N242" s="16" t="str">
        <f t="shared" si="1"/>
        <v/>
      </c>
      <c r="O242" s="17" t="str">
        <f>IF(J242="","",M242/L242)</f>
        <v/>
      </c>
      <c r="P242" s="18" t="str">
        <f>IF(O242="","",(O242/(N242)*365))</f>
        <v/>
      </c>
      <c r="Q242" s="19"/>
    </row>
    <row r="243" spans="1:17" x14ac:dyDescent="0.15">
      <c r="A243" s="23"/>
      <c r="B243" s="3"/>
      <c r="C243" s="3"/>
      <c r="D243" s="3"/>
      <c r="E243" s="3"/>
      <c r="F243" s="23"/>
      <c r="G243" s="24"/>
      <c r="H243" s="1"/>
      <c r="I243" s="6"/>
      <c r="J243" s="6"/>
      <c r="K243" s="5"/>
      <c r="L243" s="24"/>
      <c r="M243" s="31" t="str">
        <f t="shared" si="0"/>
        <v/>
      </c>
      <c r="N243" s="7" t="str">
        <f t="shared" si="1"/>
        <v/>
      </c>
      <c r="O243" s="8" t="str">
        <f>IF(J243="","",M243/L243)</f>
        <v/>
      </c>
      <c r="P243" s="9" t="str">
        <f>IF(O243="","",(O243/(N243)*365))</f>
        <v/>
      </c>
      <c r="Q243" s="10"/>
    </row>
    <row r="244" spans="1:17" x14ac:dyDescent="0.15">
      <c r="A244" s="21"/>
      <c r="B244" s="20"/>
      <c r="C244" s="20"/>
      <c r="D244" s="20"/>
      <c r="E244" s="20"/>
      <c r="F244" s="21"/>
      <c r="G244" s="22"/>
      <c r="H244" s="11"/>
      <c r="I244" s="15"/>
      <c r="J244" s="15"/>
      <c r="K244" s="14"/>
      <c r="L244" s="22"/>
      <c r="M244" s="32" t="str">
        <f t="shared" si="0"/>
        <v/>
      </c>
      <c r="N244" s="16" t="str">
        <f t="shared" si="1"/>
        <v/>
      </c>
      <c r="O244" s="17" t="str">
        <f>IF(J244="","",M244/L244)</f>
        <v/>
      </c>
      <c r="P244" s="18" t="str">
        <f>IF(O244="","",(O244/(N244)*365))</f>
        <v/>
      </c>
      <c r="Q244" s="19"/>
    </row>
    <row r="245" spans="1:17" x14ac:dyDescent="0.15">
      <c r="A245" s="23"/>
      <c r="B245" s="3"/>
      <c r="C245" s="3"/>
      <c r="D245" s="3"/>
      <c r="E245" s="3"/>
      <c r="F245" s="23"/>
      <c r="G245" s="24"/>
      <c r="H245" s="1"/>
      <c r="I245" s="6"/>
      <c r="J245" s="6"/>
      <c r="K245" s="5"/>
      <c r="L245" s="24"/>
      <c r="M245" s="31" t="str">
        <f t="shared" si="0"/>
        <v/>
      </c>
      <c r="N245" s="7" t="str">
        <f t="shared" si="1"/>
        <v/>
      </c>
      <c r="O245" s="8" t="str">
        <f>IF(J245="","",M245/L245)</f>
        <v/>
      </c>
      <c r="P245" s="9" t="str">
        <f>IF(O245="","",(O245/(N245)*365))</f>
        <v/>
      </c>
      <c r="Q245" s="10"/>
    </row>
    <row r="246" spans="1:17" x14ac:dyDescent="0.15">
      <c r="A246" s="21"/>
      <c r="B246" s="20"/>
      <c r="C246" s="20"/>
      <c r="D246" s="20"/>
      <c r="E246" s="20"/>
      <c r="F246" s="21"/>
      <c r="G246" s="22"/>
      <c r="H246" s="11"/>
      <c r="I246" s="15"/>
      <c r="J246" s="15"/>
      <c r="K246" s="14"/>
      <c r="L246" s="22"/>
      <c r="M246" s="32" t="str">
        <f t="shared" si="0"/>
        <v/>
      </c>
      <c r="N246" s="16" t="str">
        <f t="shared" si="1"/>
        <v/>
      </c>
      <c r="O246" s="17" t="str">
        <f>IF(J246="","",M246/L246)</f>
        <v/>
      </c>
      <c r="P246" s="18" t="str">
        <f>IF(O246="","",(O246/(N246)*365))</f>
        <v/>
      </c>
      <c r="Q246" s="19"/>
    </row>
    <row r="247" spans="1:17" x14ac:dyDescent="0.15">
      <c r="A247" s="23"/>
      <c r="B247" s="3"/>
      <c r="C247" s="3"/>
      <c r="D247" s="3"/>
      <c r="E247" s="3"/>
      <c r="F247" s="23"/>
      <c r="G247" s="24"/>
      <c r="H247" s="1"/>
      <c r="I247" s="6"/>
      <c r="J247" s="6"/>
      <c r="K247" s="5"/>
      <c r="L247" s="24"/>
      <c r="M247" s="31" t="str">
        <f t="shared" si="0"/>
        <v/>
      </c>
      <c r="N247" s="7" t="str">
        <f t="shared" si="1"/>
        <v/>
      </c>
      <c r="O247" s="8" t="str">
        <f>IF(J247="","",M247/L247)</f>
        <v/>
      </c>
      <c r="P247" s="9" t="str">
        <f>IF(O247="","",(O247/(N247)*365))</f>
        <v/>
      </c>
      <c r="Q247" s="10"/>
    </row>
    <row r="248" spans="1:17" x14ac:dyDescent="0.15">
      <c r="A248" s="21"/>
      <c r="B248" s="20"/>
      <c r="C248" s="20"/>
      <c r="D248" s="20"/>
      <c r="E248" s="20"/>
      <c r="F248" s="21"/>
      <c r="G248" s="22"/>
      <c r="H248" s="11"/>
      <c r="I248" s="15"/>
      <c r="J248" s="15"/>
      <c r="K248" s="14"/>
      <c r="L248" s="22"/>
      <c r="M248" s="32" t="str">
        <f t="shared" si="0"/>
        <v/>
      </c>
      <c r="N248" s="16" t="str">
        <f t="shared" si="1"/>
        <v/>
      </c>
      <c r="O248" s="17" t="str">
        <f>IF(J248="","",M248/L248)</f>
        <v/>
      </c>
      <c r="P248" s="18" t="str">
        <f>IF(O248="","",(O248/(N248)*365))</f>
        <v/>
      </c>
      <c r="Q248" s="19"/>
    </row>
    <row r="249" spans="1:17" x14ac:dyDescent="0.15">
      <c r="A249" s="23"/>
      <c r="B249" s="3"/>
      <c r="C249" s="3"/>
      <c r="D249" s="3"/>
      <c r="E249" s="3"/>
      <c r="F249" s="23"/>
      <c r="G249" s="24"/>
      <c r="H249" s="1"/>
      <c r="I249" s="6"/>
      <c r="J249" s="6"/>
      <c r="K249" s="5"/>
      <c r="L249" s="24"/>
      <c r="M249" s="31" t="str">
        <f t="shared" si="0"/>
        <v/>
      </c>
      <c r="N249" s="7" t="str">
        <f t="shared" si="1"/>
        <v/>
      </c>
      <c r="O249" s="8" t="str">
        <f>IF(J249="","",M249/L249)</f>
        <v/>
      </c>
      <c r="P249" s="9" t="str">
        <f>IF(O249="","",(O249/(N249)*365))</f>
        <v/>
      </c>
      <c r="Q249" s="10"/>
    </row>
    <row r="250" spans="1:17" x14ac:dyDescent="0.15">
      <c r="A250" s="21"/>
      <c r="B250" s="20"/>
      <c r="C250" s="20"/>
      <c r="D250" s="20"/>
      <c r="E250" s="20"/>
      <c r="F250" s="21"/>
      <c r="G250" s="22"/>
      <c r="H250" s="11"/>
      <c r="I250" s="15"/>
      <c r="J250" s="15"/>
      <c r="K250" s="14"/>
      <c r="L250" s="22"/>
      <c r="M250" s="32" t="str">
        <f t="shared" si="0"/>
        <v/>
      </c>
      <c r="N250" s="16" t="str">
        <f t="shared" si="1"/>
        <v/>
      </c>
      <c r="O250" s="17" t="str">
        <f>IF(J250="","",M250/L250)</f>
        <v/>
      </c>
      <c r="P250" s="18" t="str">
        <f>IF(O250="","",(O250/(N250)*365))</f>
        <v/>
      </c>
      <c r="Q250" s="19"/>
    </row>
    <row r="251" spans="1:17" x14ac:dyDescent="0.15">
      <c r="A251" s="23"/>
      <c r="B251" s="3"/>
      <c r="C251" s="3"/>
      <c r="D251" s="3"/>
      <c r="E251" s="3"/>
      <c r="F251" s="23"/>
      <c r="G251" s="24"/>
      <c r="H251" s="1"/>
      <c r="I251" s="6"/>
      <c r="J251" s="6"/>
      <c r="K251" s="5"/>
      <c r="L251" s="24"/>
      <c r="M251" s="31" t="str">
        <f t="shared" si="0"/>
        <v/>
      </c>
      <c r="N251" s="7" t="str">
        <f t="shared" si="1"/>
        <v/>
      </c>
      <c r="O251" s="8" t="str">
        <f>IF(J251="","",M251/L251)</f>
        <v/>
      </c>
      <c r="P251" s="9" t="str">
        <f>IF(O251="","",(O251/(N251)*365))</f>
        <v/>
      </c>
      <c r="Q251" s="10"/>
    </row>
    <row r="252" spans="1:17" x14ac:dyDescent="0.15">
      <c r="A252" s="21"/>
      <c r="B252" s="20"/>
      <c r="C252" s="20"/>
      <c r="D252" s="20"/>
      <c r="E252" s="20"/>
      <c r="F252" s="21"/>
      <c r="G252" s="22"/>
      <c r="H252" s="11"/>
      <c r="I252" s="15"/>
      <c r="J252" s="15"/>
      <c r="K252" s="14"/>
      <c r="L252" s="22"/>
      <c r="M252" s="32" t="str">
        <f t="shared" si="0"/>
        <v/>
      </c>
      <c r="N252" s="16" t="str">
        <f t="shared" si="1"/>
        <v/>
      </c>
      <c r="O252" s="17" t="str">
        <f>IF(J252="","",M252/L252)</f>
        <v/>
      </c>
      <c r="P252" s="18" t="str">
        <f>IF(O252="","",(O252/(N252)*365))</f>
        <v/>
      </c>
      <c r="Q252" s="19"/>
    </row>
    <row r="253" spans="1:17" x14ac:dyDescent="0.15">
      <c r="A253" s="23"/>
      <c r="B253" s="3"/>
      <c r="C253" s="3"/>
      <c r="D253" s="3"/>
      <c r="E253" s="3"/>
      <c r="F253" s="23"/>
      <c r="G253" s="24"/>
      <c r="H253" s="1"/>
      <c r="I253" s="6"/>
      <c r="J253" s="6"/>
      <c r="K253" s="5"/>
      <c r="L253" s="24"/>
      <c r="M253" s="31" t="str">
        <f t="shared" si="0"/>
        <v/>
      </c>
      <c r="N253" s="7" t="str">
        <f t="shared" si="1"/>
        <v/>
      </c>
      <c r="O253" s="8" t="str">
        <f>IF(J253="","",M253/L253)</f>
        <v/>
      </c>
      <c r="P253" s="9" t="str">
        <f>IF(O253="","",(O253/(N253)*365))</f>
        <v/>
      </c>
      <c r="Q253" s="10"/>
    </row>
    <row r="254" spans="1:17" x14ac:dyDescent="0.15">
      <c r="A254" s="21"/>
      <c r="B254" s="20"/>
      <c r="C254" s="20"/>
      <c r="D254" s="20"/>
      <c r="E254" s="20"/>
      <c r="F254" s="21"/>
      <c r="G254" s="22"/>
      <c r="H254" s="11"/>
      <c r="I254" s="15"/>
      <c r="J254" s="15"/>
      <c r="K254" s="14"/>
      <c r="L254" s="22"/>
      <c r="M254" s="32" t="str">
        <f t="shared" si="0"/>
        <v/>
      </c>
      <c r="N254" s="16" t="str">
        <f t="shared" si="1"/>
        <v/>
      </c>
      <c r="O254" s="17" t="str">
        <f>IF(J254="","",M254/L254)</f>
        <v/>
      </c>
      <c r="P254" s="18" t="str">
        <f>IF(O254="","",(O254/(N254)*365))</f>
        <v/>
      </c>
      <c r="Q254" s="19"/>
    </row>
    <row r="255" spans="1:17" x14ac:dyDescent="0.15">
      <c r="A255" s="23"/>
      <c r="B255" s="3"/>
      <c r="C255" s="3"/>
      <c r="D255" s="3"/>
      <c r="E255" s="3"/>
      <c r="F255" s="23"/>
      <c r="G255" s="24"/>
      <c r="H255" s="1"/>
      <c r="I255" s="6"/>
      <c r="J255" s="6"/>
      <c r="K255" s="5"/>
      <c r="L255" s="24"/>
      <c r="M255" s="31" t="str">
        <f t="shared" si="0"/>
        <v/>
      </c>
      <c r="N255" s="7" t="str">
        <f t="shared" si="1"/>
        <v/>
      </c>
      <c r="O255" s="8" t="str">
        <f>IF(J255="","",M255/L255)</f>
        <v/>
      </c>
      <c r="P255" s="9" t="str">
        <f>IF(O255="","",(O255/(N255)*365))</f>
        <v/>
      </c>
      <c r="Q255" s="10"/>
    </row>
    <row r="256" spans="1:17" x14ac:dyDescent="0.15">
      <c r="A256" s="21"/>
      <c r="B256" s="20"/>
      <c r="C256" s="20"/>
      <c r="D256" s="20"/>
      <c r="E256" s="20"/>
      <c r="F256" s="21"/>
      <c r="G256" s="22"/>
      <c r="H256" s="11"/>
      <c r="I256" s="15"/>
      <c r="J256" s="15"/>
      <c r="K256" s="14"/>
      <c r="L256" s="22"/>
      <c r="M256" s="32" t="str">
        <f t="shared" si="0"/>
        <v/>
      </c>
      <c r="N256" s="16" t="str">
        <f t="shared" si="1"/>
        <v/>
      </c>
      <c r="O256" s="17" t="str">
        <f>IF(J256="","",M256/L256)</f>
        <v/>
      </c>
      <c r="P256" s="18" t="str">
        <f>IF(O256="","",(O256/(N256)*365))</f>
        <v/>
      </c>
      <c r="Q256" s="19"/>
    </row>
    <row r="257" spans="1:17" x14ac:dyDescent="0.15">
      <c r="A257" s="23"/>
      <c r="B257" s="3"/>
      <c r="C257" s="3"/>
      <c r="D257" s="3"/>
      <c r="E257" s="3"/>
      <c r="F257" s="23"/>
      <c r="G257" s="24"/>
      <c r="H257" s="1"/>
      <c r="I257" s="6"/>
      <c r="J257" s="6"/>
      <c r="K257" s="5"/>
      <c r="L257" s="24"/>
      <c r="M257" s="31" t="str">
        <f t="shared" si="0"/>
        <v/>
      </c>
      <c r="N257" s="7" t="str">
        <f t="shared" si="1"/>
        <v/>
      </c>
      <c r="O257" s="8" t="str">
        <f>IF(J257="","",M257/L257)</f>
        <v/>
      </c>
      <c r="P257" s="9" t="str">
        <f>IF(O257="","",(O257/(N257)*365))</f>
        <v/>
      </c>
      <c r="Q257" s="10"/>
    </row>
    <row r="258" spans="1:17" x14ac:dyDescent="0.15">
      <c r="A258" s="21"/>
      <c r="B258" s="20"/>
      <c r="C258" s="20"/>
      <c r="D258" s="20"/>
      <c r="E258" s="20"/>
      <c r="F258" s="21"/>
      <c r="G258" s="22"/>
      <c r="H258" s="11"/>
      <c r="I258" s="15"/>
      <c r="J258" s="15"/>
      <c r="K258" s="14"/>
      <c r="L258" s="22"/>
      <c r="M258" s="32" t="str">
        <f t="shared" si="0"/>
        <v/>
      </c>
      <c r="N258" s="16" t="str">
        <f t="shared" si="1"/>
        <v/>
      </c>
      <c r="O258" s="17" t="str">
        <f>IF(J258="","",M258/L258)</f>
        <v/>
      </c>
      <c r="P258" s="18" t="str">
        <f>IF(O258="","",(O258/(N258)*365))</f>
        <v/>
      </c>
      <c r="Q258" s="19"/>
    </row>
    <row r="259" spans="1:17" x14ac:dyDescent="0.15">
      <c r="A259" s="23"/>
      <c r="B259" s="3"/>
      <c r="C259" s="3"/>
      <c r="D259" s="3"/>
      <c r="E259" s="3"/>
      <c r="F259" s="23"/>
      <c r="G259" s="24"/>
      <c r="H259" s="1"/>
      <c r="I259" s="6"/>
      <c r="J259" s="6"/>
      <c r="K259" s="5"/>
      <c r="L259" s="24"/>
      <c r="M259" s="31" t="str">
        <f t="shared" si="0"/>
        <v/>
      </c>
      <c r="N259" s="7" t="str">
        <f t="shared" si="1"/>
        <v/>
      </c>
      <c r="O259" s="8" t="str">
        <f>IF(J259="","",M259/L259)</f>
        <v/>
      </c>
      <c r="P259" s="9" t="str">
        <f>IF(O259="","",(O259/(N259)*365))</f>
        <v/>
      </c>
      <c r="Q259" s="10"/>
    </row>
    <row r="260" spans="1:17" x14ac:dyDescent="0.15">
      <c r="A260" s="21"/>
      <c r="B260" s="20"/>
      <c r="C260" s="20"/>
      <c r="D260" s="20"/>
      <c r="E260" s="20"/>
      <c r="F260" s="21"/>
      <c r="G260" s="22"/>
      <c r="H260" s="11"/>
      <c r="I260" s="15"/>
      <c r="J260" s="15"/>
      <c r="K260" s="14"/>
      <c r="L260" s="22"/>
      <c r="M260" s="32" t="str">
        <f t="shared" ref="M260:M514" si="9">IF(J260="","",IF(A260="SELL",(I260-J260-K260/100)*H260*100, IF(A260="BUY",(J260-I260-K260/100)*H260*100, IF(A260="ASS",(J260-I260-K260/100)*H260*100,IF(A260="ASSIGNED",(J260-I260-K260/100)*H260*100, IF(A260="SDI",((J260-I260)*H260)-(K260), IF(A260="","")))))))</f>
        <v/>
      </c>
      <c r="N260" s="16" t="str">
        <f t="shared" ref="N260:N514" si="10">IF(D260="","",(IF(D260-B260&lt;1,"1",D260-B260)))</f>
        <v/>
      </c>
      <c r="O260" s="17" t="str">
        <f>IF(J260="","",M260/L260)</f>
        <v/>
      </c>
      <c r="P260" s="18" t="str">
        <f>IF(O260="","",(O260/(N260)*365))</f>
        <v/>
      </c>
      <c r="Q260" s="19"/>
    </row>
    <row r="261" spans="1:17" x14ac:dyDescent="0.15">
      <c r="A261" s="23"/>
      <c r="B261" s="3"/>
      <c r="C261" s="3"/>
      <c r="D261" s="3"/>
      <c r="E261" s="3"/>
      <c r="F261" s="23"/>
      <c r="G261" s="24"/>
      <c r="H261" s="1"/>
      <c r="I261" s="6"/>
      <c r="J261" s="6"/>
      <c r="K261" s="5"/>
      <c r="L261" s="24"/>
      <c r="M261" s="31" t="str">
        <f t="shared" si="9"/>
        <v/>
      </c>
      <c r="N261" s="7" t="str">
        <f t="shared" si="10"/>
        <v/>
      </c>
      <c r="O261" s="8" t="str">
        <f>IF(J261="","",M261/L261)</f>
        <v/>
      </c>
      <c r="P261" s="9" t="str">
        <f>IF(O261="","",(O261/(N261)*365))</f>
        <v/>
      </c>
      <c r="Q261" s="10"/>
    </row>
    <row r="262" spans="1:17" x14ac:dyDescent="0.15">
      <c r="A262" s="21"/>
      <c r="B262" s="20"/>
      <c r="C262" s="20"/>
      <c r="D262" s="20"/>
      <c r="E262" s="20"/>
      <c r="F262" s="21"/>
      <c r="G262" s="22"/>
      <c r="H262" s="11"/>
      <c r="I262" s="15"/>
      <c r="J262" s="15"/>
      <c r="K262" s="14"/>
      <c r="L262" s="22"/>
      <c r="M262" s="32" t="str">
        <f t="shared" si="9"/>
        <v/>
      </c>
      <c r="N262" s="16" t="str">
        <f t="shared" si="10"/>
        <v/>
      </c>
      <c r="O262" s="17" t="str">
        <f>IF(J262="","",M262/L262)</f>
        <v/>
      </c>
      <c r="P262" s="18" t="str">
        <f>IF(O262="","",(O262/(N262)*365))</f>
        <v/>
      </c>
      <c r="Q262" s="19"/>
    </row>
    <row r="263" spans="1:17" x14ac:dyDescent="0.15">
      <c r="A263" s="23"/>
      <c r="B263" s="3"/>
      <c r="C263" s="3"/>
      <c r="D263" s="3"/>
      <c r="E263" s="3"/>
      <c r="F263" s="23"/>
      <c r="G263" s="24"/>
      <c r="H263" s="1"/>
      <c r="I263" s="6"/>
      <c r="J263" s="6"/>
      <c r="K263" s="5"/>
      <c r="L263" s="24"/>
      <c r="M263" s="31" t="str">
        <f t="shared" si="9"/>
        <v/>
      </c>
      <c r="N263" s="7" t="str">
        <f t="shared" si="10"/>
        <v/>
      </c>
      <c r="O263" s="8" t="str">
        <f>IF(J263="","",M263/L263)</f>
        <v/>
      </c>
      <c r="P263" s="9" t="str">
        <f>IF(O263="","",(O263/(N263)*365))</f>
        <v/>
      </c>
      <c r="Q263" s="10"/>
    </row>
    <row r="264" spans="1:17" x14ac:dyDescent="0.15">
      <c r="A264" s="21"/>
      <c r="B264" s="20"/>
      <c r="C264" s="20"/>
      <c r="D264" s="20"/>
      <c r="E264" s="20"/>
      <c r="F264" s="21"/>
      <c r="G264" s="22"/>
      <c r="H264" s="11"/>
      <c r="I264" s="15"/>
      <c r="J264" s="15"/>
      <c r="K264" s="14"/>
      <c r="L264" s="22"/>
      <c r="M264" s="32" t="str">
        <f t="shared" si="9"/>
        <v/>
      </c>
      <c r="N264" s="16" t="str">
        <f t="shared" si="10"/>
        <v/>
      </c>
      <c r="O264" s="17" t="str">
        <f>IF(J264="","",M264/L264)</f>
        <v/>
      </c>
      <c r="P264" s="18" t="str">
        <f>IF(O264="","",(O264/(N264)*365))</f>
        <v/>
      </c>
      <c r="Q264" s="19"/>
    </row>
    <row r="265" spans="1:17" x14ac:dyDescent="0.15">
      <c r="A265" s="23"/>
      <c r="B265" s="3"/>
      <c r="C265" s="3"/>
      <c r="D265" s="3"/>
      <c r="E265" s="3"/>
      <c r="F265" s="23"/>
      <c r="G265" s="24"/>
      <c r="H265" s="1"/>
      <c r="I265" s="6"/>
      <c r="J265" s="6"/>
      <c r="K265" s="5"/>
      <c r="L265" s="24"/>
      <c r="M265" s="31" t="str">
        <f t="shared" si="9"/>
        <v/>
      </c>
      <c r="N265" s="7" t="str">
        <f t="shared" si="10"/>
        <v/>
      </c>
      <c r="O265" s="8" t="str">
        <f>IF(J265="","",M265/L265)</f>
        <v/>
      </c>
      <c r="P265" s="9" t="str">
        <f>IF(O265="","",(O265/(N265)*365))</f>
        <v/>
      </c>
      <c r="Q265" s="10"/>
    </row>
    <row r="266" spans="1:17" x14ac:dyDescent="0.15">
      <c r="A266" s="21"/>
      <c r="B266" s="20"/>
      <c r="C266" s="20"/>
      <c r="D266" s="20"/>
      <c r="E266" s="20"/>
      <c r="F266" s="21"/>
      <c r="G266" s="22"/>
      <c r="H266" s="11"/>
      <c r="I266" s="15"/>
      <c r="J266" s="15"/>
      <c r="K266" s="14"/>
      <c r="L266" s="22"/>
      <c r="M266" s="32" t="str">
        <f t="shared" si="9"/>
        <v/>
      </c>
      <c r="N266" s="16" t="str">
        <f t="shared" si="10"/>
        <v/>
      </c>
      <c r="O266" s="17" t="str">
        <f>IF(J266="","",M266/L266)</f>
        <v/>
      </c>
      <c r="P266" s="18" t="str">
        <f>IF(O266="","",(O266/(N266)*365))</f>
        <v/>
      </c>
      <c r="Q266" s="19"/>
    </row>
    <row r="267" spans="1:17" x14ac:dyDescent="0.15">
      <c r="A267" s="23"/>
      <c r="B267" s="3"/>
      <c r="C267" s="3"/>
      <c r="D267" s="3"/>
      <c r="E267" s="3"/>
      <c r="F267" s="23"/>
      <c r="G267" s="24"/>
      <c r="H267" s="1"/>
      <c r="I267" s="6"/>
      <c r="J267" s="6"/>
      <c r="K267" s="5"/>
      <c r="L267" s="24"/>
      <c r="M267" s="31" t="str">
        <f t="shared" si="9"/>
        <v/>
      </c>
      <c r="N267" s="7" t="str">
        <f t="shared" si="10"/>
        <v/>
      </c>
      <c r="O267" s="8" t="str">
        <f>IF(J267="","",M267/L267)</f>
        <v/>
      </c>
      <c r="P267" s="9" t="str">
        <f>IF(O267="","",(O267/(N267)*365))</f>
        <v/>
      </c>
      <c r="Q267" s="10"/>
    </row>
    <row r="268" spans="1:17" x14ac:dyDescent="0.15">
      <c r="A268" s="21"/>
      <c r="B268" s="20"/>
      <c r="C268" s="20"/>
      <c r="D268" s="20"/>
      <c r="E268" s="20"/>
      <c r="F268" s="21"/>
      <c r="G268" s="22"/>
      <c r="H268" s="11"/>
      <c r="I268" s="15"/>
      <c r="J268" s="15"/>
      <c r="K268" s="14"/>
      <c r="L268" s="22"/>
      <c r="M268" s="32" t="str">
        <f t="shared" si="9"/>
        <v/>
      </c>
      <c r="N268" s="16" t="str">
        <f t="shared" si="10"/>
        <v/>
      </c>
      <c r="O268" s="17" t="str">
        <f>IF(J268="","",M268/L268)</f>
        <v/>
      </c>
      <c r="P268" s="18" t="str">
        <f>IF(O268="","",(O268/(N268)*365))</f>
        <v/>
      </c>
      <c r="Q268" s="19"/>
    </row>
    <row r="269" spans="1:17" x14ac:dyDescent="0.15">
      <c r="A269" s="23"/>
      <c r="B269" s="3"/>
      <c r="C269" s="3"/>
      <c r="D269" s="3"/>
      <c r="E269" s="3"/>
      <c r="F269" s="23"/>
      <c r="G269" s="24"/>
      <c r="H269" s="1"/>
      <c r="I269" s="6"/>
      <c r="J269" s="6"/>
      <c r="K269" s="5"/>
      <c r="L269" s="24"/>
      <c r="M269" s="31" t="str">
        <f t="shared" si="9"/>
        <v/>
      </c>
      <c r="N269" s="7" t="str">
        <f t="shared" si="10"/>
        <v/>
      </c>
      <c r="O269" s="8" t="str">
        <f>IF(J269="","",M269/L269)</f>
        <v/>
      </c>
      <c r="P269" s="9" t="str">
        <f>IF(O269="","",(O269/(N269)*365))</f>
        <v/>
      </c>
      <c r="Q269" s="10"/>
    </row>
    <row r="270" spans="1:17" x14ac:dyDescent="0.15">
      <c r="A270" s="21"/>
      <c r="B270" s="20"/>
      <c r="C270" s="20"/>
      <c r="D270" s="20"/>
      <c r="E270" s="20"/>
      <c r="F270" s="21"/>
      <c r="G270" s="22"/>
      <c r="H270" s="11"/>
      <c r="I270" s="15"/>
      <c r="J270" s="15"/>
      <c r="K270" s="14"/>
      <c r="L270" s="22"/>
      <c r="M270" s="32" t="str">
        <f t="shared" si="9"/>
        <v/>
      </c>
      <c r="N270" s="16" t="str">
        <f t="shared" si="10"/>
        <v/>
      </c>
      <c r="O270" s="17" t="str">
        <f>IF(J270="","",M270/L270)</f>
        <v/>
      </c>
      <c r="P270" s="18" t="str">
        <f>IF(O270="","",(O270/(N270)*365))</f>
        <v/>
      </c>
      <c r="Q270" s="19"/>
    </row>
    <row r="271" spans="1:17" x14ac:dyDescent="0.15">
      <c r="A271" s="23"/>
      <c r="B271" s="3"/>
      <c r="C271" s="3"/>
      <c r="D271" s="3"/>
      <c r="E271" s="3"/>
      <c r="F271" s="23"/>
      <c r="G271" s="24"/>
      <c r="H271" s="1"/>
      <c r="I271" s="6"/>
      <c r="J271" s="6"/>
      <c r="K271" s="5"/>
      <c r="L271" s="24"/>
      <c r="M271" s="31" t="str">
        <f t="shared" si="9"/>
        <v/>
      </c>
      <c r="N271" s="7" t="str">
        <f t="shared" si="10"/>
        <v/>
      </c>
      <c r="O271" s="8" t="str">
        <f>IF(J271="","",M271/L271)</f>
        <v/>
      </c>
      <c r="P271" s="9" t="str">
        <f>IF(O271="","",(O271/(N271)*365))</f>
        <v/>
      </c>
      <c r="Q271" s="10"/>
    </row>
    <row r="272" spans="1:17" x14ac:dyDescent="0.15">
      <c r="A272" s="21"/>
      <c r="B272" s="20"/>
      <c r="C272" s="20"/>
      <c r="D272" s="20"/>
      <c r="E272" s="20"/>
      <c r="F272" s="21"/>
      <c r="G272" s="22"/>
      <c r="H272" s="11"/>
      <c r="I272" s="15"/>
      <c r="J272" s="15"/>
      <c r="K272" s="14"/>
      <c r="L272" s="22"/>
      <c r="M272" s="32" t="str">
        <f t="shared" si="9"/>
        <v/>
      </c>
      <c r="N272" s="16" t="str">
        <f t="shared" si="10"/>
        <v/>
      </c>
      <c r="O272" s="17" t="str">
        <f>IF(J272="","",M272/L272)</f>
        <v/>
      </c>
      <c r="P272" s="18" t="str">
        <f>IF(O272="","",(O272/(N272)*365))</f>
        <v/>
      </c>
      <c r="Q272" s="19"/>
    </row>
    <row r="273" spans="1:17" x14ac:dyDescent="0.15">
      <c r="A273" s="23"/>
      <c r="B273" s="3"/>
      <c r="C273" s="3"/>
      <c r="D273" s="3"/>
      <c r="E273" s="3"/>
      <c r="F273" s="23"/>
      <c r="G273" s="24"/>
      <c r="H273" s="1"/>
      <c r="I273" s="6"/>
      <c r="J273" s="6"/>
      <c r="K273" s="5"/>
      <c r="L273" s="24"/>
      <c r="M273" s="31" t="str">
        <f t="shared" si="9"/>
        <v/>
      </c>
      <c r="N273" s="7" t="str">
        <f t="shared" si="10"/>
        <v/>
      </c>
      <c r="O273" s="8" t="str">
        <f>IF(J273="","",M273/L273)</f>
        <v/>
      </c>
      <c r="P273" s="9" t="str">
        <f>IF(O273="","",(O273/(N273)*365))</f>
        <v/>
      </c>
      <c r="Q273" s="10"/>
    </row>
    <row r="274" spans="1:17" x14ac:dyDescent="0.15">
      <c r="A274" s="21"/>
      <c r="B274" s="20"/>
      <c r="C274" s="20"/>
      <c r="D274" s="20"/>
      <c r="E274" s="20"/>
      <c r="F274" s="21"/>
      <c r="G274" s="22"/>
      <c r="H274" s="11"/>
      <c r="I274" s="15"/>
      <c r="J274" s="15"/>
      <c r="K274" s="14"/>
      <c r="L274" s="22"/>
      <c r="M274" s="32" t="str">
        <f t="shared" si="9"/>
        <v/>
      </c>
      <c r="N274" s="16" t="str">
        <f t="shared" si="10"/>
        <v/>
      </c>
      <c r="O274" s="17" t="str">
        <f>IF(J274="","",M274/L274)</f>
        <v/>
      </c>
      <c r="P274" s="18" t="str">
        <f>IF(O274="","",(O274/(N274)*365))</f>
        <v/>
      </c>
      <c r="Q274" s="19"/>
    </row>
    <row r="275" spans="1:17" x14ac:dyDescent="0.15">
      <c r="A275" s="23"/>
      <c r="B275" s="3"/>
      <c r="C275" s="3"/>
      <c r="D275" s="3"/>
      <c r="E275" s="3"/>
      <c r="F275" s="23"/>
      <c r="G275" s="24"/>
      <c r="H275" s="1"/>
      <c r="I275" s="6"/>
      <c r="J275" s="6"/>
      <c r="K275" s="5"/>
      <c r="L275" s="24"/>
      <c r="M275" s="31" t="str">
        <f t="shared" si="9"/>
        <v/>
      </c>
      <c r="N275" s="7" t="str">
        <f t="shared" si="10"/>
        <v/>
      </c>
      <c r="O275" s="8" t="str">
        <f>IF(J275="","",M275/L275)</f>
        <v/>
      </c>
      <c r="P275" s="9" t="str">
        <f>IF(O275="","",(O275/(N275)*365))</f>
        <v/>
      </c>
      <c r="Q275" s="10"/>
    </row>
    <row r="276" spans="1:17" x14ac:dyDescent="0.15">
      <c r="A276" s="21"/>
      <c r="B276" s="20"/>
      <c r="C276" s="20"/>
      <c r="D276" s="20"/>
      <c r="E276" s="20"/>
      <c r="F276" s="21"/>
      <c r="G276" s="22"/>
      <c r="H276" s="11"/>
      <c r="I276" s="15"/>
      <c r="J276" s="15"/>
      <c r="K276" s="14"/>
      <c r="L276" s="22"/>
      <c r="M276" s="32" t="str">
        <f t="shared" si="9"/>
        <v/>
      </c>
      <c r="N276" s="16" t="str">
        <f t="shared" si="10"/>
        <v/>
      </c>
      <c r="O276" s="17" t="str">
        <f>IF(J276="","",M276/L276)</f>
        <v/>
      </c>
      <c r="P276" s="18" t="str">
        <f>IF(O276="","",(O276/(N276)*365))</f>
        <v/>
      </c>
      <c r="Q276" s="19"/>
    </row>
    <row r="277" spans="1:17" x14ac:dyDescent="0.15">
      <c r="A277" s="23"/>
      <c r="B277" s="3"/>
      <c r="C277" s="3"/>
      <c r="D277" s="3"/>
      <c r="E277" s="3"/>
      <c r="F277" s="23"/>
      <c r="G277" s="24"/>
      <c r="H277" s="1"/>
      <c r="I277" s="6"/>
      <c r="J277" s="6"/>
      <c r="K277" s="5"/>
      <c r="L277" s="24"/>
      <c r="M277" s="31" t="str">
        <f t="shared" si="9"/>
        <v/>
      </c>
      <c r="N277" s="7" t="str">
        <f t="shared" si="10"/>
        <v/>
      </c>
      <c r="O277" s="8" t="str">
        <f>IF(J277="","",M277/L277)</f>
        <v/>
      </c>
      <c r="P277" s="9" t="str">
        <f>IF(O277="","",(O277/(N277)*365))</f>
        <v/>
      </c>
      <c r="Q277" s="10"/>
    </row>
    <row r="278" spans="1:17" x14ac:dyDescent="0.15">
      <c r="A278" s="21"/>
      <c r="B278" s="20"/>
      <c r="C278" s="20"/>
      <c r="D278" s="20"/>
      <c r="E278" s="20"/>
      <c r="F278" s="21"/>
      <c r="G278" s="22"/>
      <c r="H278" s="11"/>
      <c r="I278" s="15"/>
      <c r="J278" s="15"/>
      <c r="K278" s="14"/>
      <c r="L278" s="22"/>
      <c r="M278" s="32" t="str">
        <f t="shared" si="9"/>
        <v/>
      </c>
      <c r="N278" s="16" t="str">
        <f t="shared" si="10"/>
        <v/>
      </c>
      <c r="O278" s="17" t="str">
        <f>IF(J278="","",M278/L278)</f>
        <v/>
      </c>
      <c r="P278" s="18" t="str">
        <f>IF(O278="","",(O278/(N278)*365))</f>
        <v/>
      </c>
      <c r="Q278" s="19"/>
    </row>
    <row r="279" spans="1:17" x14ac:dyDescent="0.15">
      <c r="A279" s="23"/>
      <c r="B279" s="3"/>
      <c r="C279" s="3"/>
      <c r="D279" s="3"/>
      <c r="E279" s="3"/>
      <c r="F279" s="23"/>
      <c r="G279" s="24"/>
      <c r="H279" s="1"/>
      <c r="I279" s="6"/>
      <c r="J279" s="6"/>
      <c r="K279" s="5"/>
      <c r="L279" s="24"/>
      <c r="M279" s="31" t="str">
        <f t="shared" si="9"/>
        <v/>
      </c>
      <c r="N279" s="7" t="str">
        <f t="shared" si="10"/>
        <v/>
      </c>
      <c r="O279" s="8" t="str">
        <f>IF(J279="","",M279/L279)</f>
        <v/>
      </c>
      <c r="P279" s="9" t="str">
        <f>IF(O279="","",(O279/(N279)*365))</f>
        <v/>
      </c>
      <c r="Q279" s="10"/>
    </row>
    <row r="280" spans="1:17" x14ac:dyDescent="0.15">
      <c r="A280" s="21"/>
      <c r="B280" s="20"/>
      <c r="C280" s="20"/>
      <c r="D280" s="20"/>
      <c r="E280" s="20"/>
      <c r="F280" s="21"/>
      <c r="G280" s="22"/>
      <c r="H280" s="11"/>
      <c r="I280" s="15"/>
      <c r="J280" s="15"/>
      <c r="K280" s="14"/>
      <c r="L280" s="22"/>
      <c r="M280" s="32" t="str">
        <f t="shared" si="9"/>
        <v/>
      </c>
      <c r="N280" s="16" t="str">
        <f t="shared" si="10"/>
        <v/>
      </c>
      <c r="O280" s="17" t="str">
        <f>IF(J280="","",M280/L280)</f>
        <v/>
      </c>
      <c r="P280" s="18" t="str">
        <f>IF(O280="","",(O280/(N280)*365))</f>
        <v/>
      </c>
      <c r="Q280" s="19"/>
    </row>
    <row r="281" spans="1:17" x14ac:dyDescent="0.15">
      <c r="A281" s="23"/>
      <c r="B281" s="3"/>
      <c r="C281" s="3"/>
      <c r="D281" s="3"/>
      <c r="E281" s="3"/>
      <c r="F281" s="23"/>
      <c r="G281" s="24"/>
      <c r="H281" s="1"/>
      <c r="I281" s="6"/>
      <c r="J281" s="6"/>
      <c r="K281" s="5"/>
      <c r="L281" s="24"/>
      <c r="M281" s="31" t="str">
        <f t="shared" si="9"/>
        <v/>
      </c>
      <c r="N281" s="7" t="str">
        <f t="shared" si="10"/>
        <v/>
      </c>
      <c r="O281" s="8" t="str">
        <f>IF(J281="","",M281/L281)</f>
        <v/>
      </c>
      <c r="P281" s="9" t="str">
        <f>IF(O281="","",(O281/(N281)*365))</f>
        <v/>
      </c>
      <c r="Q281" s="10"/>
    </row>
    <row r="282" spans="1:17" x14ac:dyDescent="0.15">
      <c r="A282" s="21"/>
      <c r="B282" s="20"/>
      <c r="C282" s="20"/>
      <c r="D282" s="20"/>
      <c r="E282" s="20"/>
      <c r="F282" s="21"/>
      <c r="G282" s="22"/>
      <c r="H282" s="11"/>
      <c r="I282" s="15"/>
      <c r="J282" s="15"/>
      <c r="K282" s="14"/>
      <c r="L282" s="22"/>
      <c r="M282" s="32" t="str">
        <f t="shared" si="9"/>
        <v/>
      </c>
      <c r="N282" s="16" t="str">
        <f t="shared" si="10"/>
        <v/>
      </c>
      <c r="O282" s="17" t="str">
        <f>IF(J282="","",M282/L282)</f>
        <v/>
      </c>
      <c r="P282" s="18" t="str">
        <f>IF(O282="","",(O282/(N282)*365))</f>
        <v/>
      </c>
      <c r="Q282" s="19"/>
    </row>
    <row r="283" spans="1:17" x14ac:dyDescent="0.15">
      <c r="A283" s="23"/>
      <c r="B283" s="3"/>
      <c r="C283" s="3"/>
      <c r="D283" s="3"/>
      <c r="E283" s="3"/>
      <c r="F283" s="23"/>
      <c r="G283" s="24"/>
      <c r="H283" s="1"/>
      <c r="I283" s="6"/>
      <c r="J283" s="6"/>
      <c r="K283" s="5"/>
      <c r="L283" s="24"/>
      <c r="M283" s="31" t="str">
        <f t="shared" si="9"/>
        <v/>
      </c>
      <c r="N283" s="7" t="str">
        <f t="shared" si="10"/>
        <v/>
      </c>
      <c r="O283" s="8" t="str">
        <f>IF(J283="","",M283/L283)</f>
        <v/>
      </c>
      <c r="P283" s="9" t="str">
        <f>IF(O283="","",(O283/(N283)*365))</f>
        <v/>
      </c>
      <c r="Q283" s="10"/>
    </row>
    <row r="284" spans="1:17" x14ac:dyDescent="0.15">
      <c r="A284" s="21"/>
      <c r="B284" s="20"/>
      <c r="C284" s="20"/>
      <c r="D284" s="20"/>
      <c r="E284" s="20"/>
      <c r="F284" s="21"/>
      <c r="G284" s="22"/>
      <c r="H284" s="11"/>
      <c r="I284" s="15"/>
      <c r="J284" s="15"/>
      <c r="K284" s="14"/>
      <c r="L284" s="22"/>
      <c r="M284" s="32" t="str">
        <f t="shared" si="9"/>
        <v/>
      </c>
      <c r="N284" s="16" t="str">
        <f t="shared" si="10"/>
        <v/>
      </c>
      <c r="O284" s="17" t="str">
        <f>IF(J284="","",M284/L284)</f>
        <v/>
      </c>
      <c r="P284" s="18" t="str">
        <f>IF(O284="","",(O284/(N284)*365))</f>
        <v/>
      </c>
      <c r="Q284" s="19"/>
    </row>
    <row r="285" spans="1:17" x14ac:dyDescent="0.15">
      <c r="A285" s="23"/>
      <c r="B285" s="3"/>
      <c r="C285" s="3"/>
      <c r="D285" s="3"/>
      <c r="E285" s="3"/>
      <c r="F285" s="23"/>
      <c r="G285" s="24"/>
      <c r="H285" s="1"/>
      <c r="I285" s="6"/>
      <c r="J285" s="6"/>
      <c r="K285" s="5"/>
      <c r="L285" s="24"/>
      <c r="M285" s="31" t="str">
        <f t="shared" si="9"/>
        <v/>
      </c>
      <c r="N285" s="7" t="str">
        <f t="shared" si="10"/>
        <v/>
      </c>
      <c r="O285" s="8" t="str">
        <f>IF(J285="","",M285/L285)</f>
        <v/>
      </c>
      <c r="P285" s="9" t="str">
        <f>IF(O285="","",(O285/(N285)*365))</f>
        <v/>
      </c>
      <c r="Q285" s="10"/>
    </row>
    <row r="286" spans="1:17" x14ac:dyDescent="0.15">
      <c r="A286" s="21"/>
      <c r="B286" s="20"/>
      <c r="C286" s="20"/>
      <c r="D286" s="20"/>
      <c r="E286" s="20"/>
      <c r="F286" s="21"/>
      <c r="G286" s="22"/>
      <c r="H286" s="11"/>
      <c r="I286" s="15"/>
      <c r="J286" s="15"/>
      <c r="K286" s="14"/>
      <c r="L286" s="22"/>
      <c r="M286" s="32" t="str">
        <f t="shared" si="9"/>
        <v/>
      </c>
      <c r="N286" s="16" t="str">
        <f t="shared" si="10"/>
        <v/>
      </c>
      <c r="O286" s="17" t="str">
        <f>IF(J286="","",M286/L286)</f>
        <v/>
      </c>
      <c r="P286" s="18" t="str">
        <f>IF(O286="","",(O286/(N286)*365))</f>
        <v/>
      </c>
      <c r="Q286" s="19"/>
    </row>
    <row r="287" spans="1:17" x14ac:dyDescent="0.15">
      <c r="A287" s="23"/>
      <c r="B287" s="3"/>
      <c r="C287" s="3"/>
      <c r="D287" s="3"/>
      <c r="E287" s="3"/>
      <c r="F287" s="23"/>
      <c r="G287" s="24"/>
      <c r="H287" s="1"/>
      <c r="I287" s="6"/>
      <c r="J287" s="6"/>
      <c r="K287" s="5"/>
      <c r="L287" s="24"/>
      <c r="M287" s="31" t="str">
        <f t="shared" si="9"/>
        <v/>
      </c>
      <c r="N287" s="7" t="str">
        <f t="shared" si="10"/>
        <v/>
      </c>
      <c r="O287" s="8" t="str">
        <f>IF(J287="","",M287/L287)</f>
        <v/>
      </c>
      <c r="P287" s="9" t="str">
        <f>IF(O287="","",(O287/(N287)*365))</f>
        <v/>
      </c>
      <c r="Q287" s="10"/>
    </row>
    <row r="288" spans="1:17" x14ac:dyDescent="0.15">
      <c r="A288" s="21"/>
      <c r="B288" s="20"/>
      <c r="C288" s="20"/>
      <c r="D288" s="20"/>
      <c r="E288" s="20"/>
      <c r="F288" s="21"/>
      <c r="G288" s="22"/>
      <c r="H288" s="11"/>
      <c r="I288" s="15"/>
      <c r="J288" s="15"/>
      <c r="K288" s="14"/>
      <c r="L288" s="22"/>
      <c r="M288" s="32" t="str">
        <f t="shared" si="9"/>
        <v/>
      </c>
      <c r="N288" s="16" t="str">
        <f t="shared" si="10"/>
        <v/>
      </c>
      <c r="O288" s="17" t="str">
        <f>IF(J288="","",M288/L288)</f>
        <v/>
      </c>
      <c r="P288" s="18" t="str">
        <f>IF(O288="","",(O288/(N288)*365))</f>
        <v/>
      </c>
      <c r="Q288" s="19"/>
    </row>
    <row r="289" spans="1:17" x14ac:dyDescent="0.15">
      <c r="A289" s="23"/>
      <c r="B289" s="3"/>
      <c r="C289" s="3"/>
      <c r="D289" s="3"/>
      <c r="E289" s="3"/>
      <c r="F289" s="23"/>
      <c r="G289" s="24"/>
      <c r="H289" s="1"/>
      <c r="I289" s="6"/>
      <c r="J289" s="6"/>
      <c r="K289" s="5"/>
      <c r="L289" s="24"/>
      <c r="M289" s="31" t="str">
        <f t="shared" si="9"/>
        <v/>
      </c>
      <c r="N289" s="7" t="str">
        <f t="shared" si="10"/>
        <v/>
      </c>
      <c r="O289" s="8" t="str">
        <f>IF(J289="","",M289/L289)</f>
        <v/>
      </c>
      <c r="P289" s="9" t="str">
        <f>IF(O289="","",(O289/(N289)*365))</f>
        <v/>
      </c>
      <c r="Q289" s="10"/>
    </row>
    <row r="290" spans="1:17" x14ac:dyDescent="0.15">
      <c r="A290" s="21"/>
      <c r="B290" s="20"/>
      <c r="C290" s="20"/>
      <c r="D290" s="20"/>
      <c r="E290" s="20"/>
      <c r="F290" s="21"/>
      <c r="G290" s="22"/>
      <c r="H290" s="11"/>
      <c r="I290" s="15"/>
      <c r="J290" s="15"/>
      <c r="K290" s="14"/>
      <c r="L290" s="22"/>
      <c r="M290" s="32" t="str">
        <f t="shared" si="9"/>
        <v/>
      </c>
      <c r="N290" s="16" t="str">
        <f t="shared" si="10"/>
        <v/>
      </c>
      <c r="O290" s="17" t="str">
        <f>IF(J290="","",M290/L290)</f>
        <v/>
      </c>
      <c r="P290" s="18" t="str">
        <f>IF(O290="","",(O290/(N290)*365))</f>
        <v/>
      </c>
      <c r="Q290" s="19"/>
    </row>
    <row r="291" spans="1:17" x14ac:dyDescent="0.15">
      <c r="A291" s="23"/>
      <c r="B291" s="3"/>
      <c r="C291" s="3"/>
      <c r="D291" s="3"/>
      <c r="E291" s="3"/>
      <c r="F291" s="23"/>
      <c r="G291" s="24"/>
      <c r="H291" s="1"/>
      <c r="I291" s="6"/>
      <c r="J291" s="6"/>
      <c r="K291" s="5"/>
      <c r="L291" s="24"/>
      <c r="M291" s="31" t="str">
        <f t="shared" si="9"/>
        <v/>
      </c>
      <c r="N291" s="7" t="str">
        <f t="shared" si="10"/>
        <v/>
      </c>
      <c r="O291" s="8" t="str">
        <f>IF(J291="","",M291/L291)</f>
        <v/>
      </c>
      <c r="P291" s="9" t="str">
        <f>IF(O291="","",(O291/(N291)*365))</f>
        <v/>
      </c>
      <c r="Q291" s="10"/>
    </row>
    <row r="292" spans="1:17" x14ac:dyDescent="0.15">
      <c r="A292" s="21"/>
      <c r="B292" s="20"/>
      <c r="C292" s="20"/>
      <c r="D292" s="20"/>
      <c r="E292" s="20"/>
      <c r="F292" s="21"/>
      <c r="G292" s="22"/>
      <c r="H292" s="11"/>
      <c r="I292" s="15"/>
      <c r="J292" s="15"/>
      <c r="K292" s="14"/>
      <c r="L292" s="22"/>
      <c r="M292" s="32" t="str">
        <f t="shared" si="9"/>
        <v/>
      </c>
      <c r="N292" s="16" t="str">
        <f t="shared" si="10"/>
        <v/>
      </c>
      <c r="O292" s="17" t="str">
        <f>IF(J292="","",M292/L292)</f>
        <v/>
      </c>
      <c r="P292" s="18" t="str">
        <f>IF(O292="","",(O292/(N292)*365))</f>
        <v/>
      </c>
      <c r="Q292" s="19"/>
    </row>
    <row r="293" spans="1:17" x14ac:dyDescent="0.15">
      <c r="A293" s="23"/>
      <c r="B293" s="3"/>
      <c r="C293" s="3"/>
      <c r="D293" s="3"/>
      <c r="E293" s="3"/>
      <c r="F293" s="23"/>
      <c r="G293" s="24"/>
      <c r="H293" s="1"/>
      <c r="I293" s="6"/>
      <c r="J293" s="6"/>
      <c r="K293" s="5"/>
      <c r="L293" s="24"/>
      <c r="M293" s="31" t="str">
        <f t="shared" si="9"/>
        <v/>
      </c>
      <c r="N293" s="7" t="str">
        <f t="shared" si="10"/>
        <v/>
      </c>
      <c r="O293" s="8" t="str">
        <f>IF(J293="","",M293/L293)</f>
        <v/>
      </c>
      <c r="P293" s="9" t="str">
        <f>IF(O293="","",(O293/(N293)*365))</f>
        <v/>
      </c>
      <c r="Q293" s="10"/>
    </row>
    <row r="294" spans="1:17" x14ac:dyDescent="0.15">
      <c r="A294" s="21"/>
      <c r="B294" s="20"/>
      <c r="C294" s="20"/>
      <c r="D294" s="20"/>
      <c r="E294" s="20"/>
      <c r="F294" s="21"/>
      <c r="G294" s="22"/>
      <c r="H294" s="11"/>
      <c r="I294" s="15"/>
      <c r="J294" s="15"/>
      <c r="K294" s="14"/>
      <c r="L294" s="22"/>
      <c r="M294" s="32" t="str">
        <f t="shared" si="9"/>
        <v/>
      </c>
      <c r="N294" s="16" t="str">
        <f t="shared" si="10"/>
        <v/>
      </c>
      <c r="O294" s="17" t="str">
        <f>IF(J294="","",M294/L294)</f>
        <v/>
      </c>
      <c r="P294" s="18" t="str">
        <f>IF(O294="","",(O294/(N294)*365))</f>
        <v/>
      </c>
      <c r="Q294" s="19"/>
    </row>
    <row r="295" spans="1:17" x14ac:dyDescent="0.15">
      <c r="A295" s="23"/>
      <c r="B295" s="3"/>
      <c r="C295" s="3"/>
      <c r="D295" s="3"/>
      <c r="E295" s="3"/>
      <c r="F295" s="23"/>
      <c r="G295" s="24"/>
      <c r="H295" s="1"/>
      <c r="I295" s="6"/>
      <c r="J295" s="6"/>
      <c r="K295" s="5"/>
      <c r="L295" s="24"/>
      <c r="M295" s="31" t="str">
        <f t="shared" si="9"/>
        <v/>
      </c>
      <c r="N295" s="7" t="str">
        <f t="shared" si="10"/>
        <v/>
      </c>
      <c r="O295" s="8" t="str">
        <f>IF(J295="","",M295/L295)</f>
        <v/>
      </c>
      <c r="P295" s="9" t="str">
        <f>IF(O295="","",(O295/(N295)*365))</f>
        <v/>
      </c>
      <c r="Q295" s="10"/>
    </row>
    <row r="296" spans="1:17" x14ac:dyDescent="0.15">
      <c r="A296" s="21"/>
      <c r="B296" s="20"/>
      <c r="C296" s="20"/>
      <c r="D296" s="20"/>
      <c r="E296" s="20"/>
      <c r="F296" s="21"/>
      <c r="G296" s="22"/>
      <c r="H296" s="11"/>
      <c r="I296" s="15"/>
      <c r="J296" s="15"/>
      <c r="K296" s="14"/>
      <c r="L296" s="22"/>
      <c r="M296" s="32" t="str">
        <f t="shared" si="9"/>
        <v/>
      </c>
      <c r="N296" s="16" t="str">
        <f t="shared" si="10"/>
        <v/>
      </c>
      <c r="O296" s="17" t="str">
        <f>IF(J296="","",M296/L296)</f>
        <v/>
      </c>
      <c r="P296" s="18" t="str">
        <f>IF(O296="","",(O296/(N296)*365))</f>
        <v/>
      </c>
      <c r="Q296" s="19"/>
    </row>
    <row r="297" spans="1:17" x14ac:dyDescent="0.15">
      <c r="A297" s="23"/>
      <c r="B297" s="3"/>
      <c r="C297" s="3"/>
      <c r="D297" s="3"/>
      <c r="E297" s="3"/>
      <c r="F297" s="23"/>
      <c r="G297" s="24"/>
      <c r="H297" s="1"/>
      <c r="I297" s="6"/>
      <c r="J297" s="6"/>
      <c r="K297" s="5"/>
      <c r="L297" s="24"/>
      <c r="M297" s="31" t="str">
        <f t="shared" si="9"/>
        <v/>
      </c>
      <c r="N297" s="7" t="str">
        <f t="shared" si="10"/>
        <v/>
      </c>
      <c r="O297" s="8" t="str">
        <f>IF(J297="","",M297/L297)</f>
        <v/>
      </c>
      <c r="P297" s="9" t="str">
        <f>IF(O297="","",(O297/(N297)*365))</f>
        <v/>
      </c>
      <c r="Q297" s="10"/>
    </row>
    <row r="298" spans="1:17" x14ac:dyDescent="0.15">
      <c r="A298" s="21"/>
      <c r="B298" s="20"/>
      <c r="C298" s="20"/>
      <c r="D298" s="20"/>
      <c r="E298" s="20"/>
      <c r="F298" s="21"/>
      <c r="G298" s="22"/>
      <c r="H298" s="11"/>
      <c r="I298" s="15"/>
      <c r="J298" s="15"/>
      <c r="K298" s="14"/>
      <c r="L298" s="22"/>
      <c r="M298" s="32" t="str">
        <f t="shared" si="9"/>
        <v/>
      </c>
      <c r="N298" s="16" t="str">
        <f t="shared" si="10"/>
        <v/>
      </c>
      <c r="O298" s="17" t="str">
        <f>IF(J298="","",M298/L298)</f>
        <v/>
      </c>
      <c r="P298" s="18" t="str">
        <f>IF(O298="","",(O298/(N298)*365))</f>
        <v/>
      </c>
      <c r="Q298" s="19"/>
    </row>
    <row r="299" spans="1:17" x14ac:dyDescent="0.15">
      <c r="A299" s="23"/>
      <c r="B299" s="3"/>
      <c r="C299" s="3"/>
      <c r="D299" s="3"/>
      <c r="E299" s="3"/>
      <c r="F299" s="23"/>
      <c r="G299" s="24"/>
      <c r="H299" s="1"/>
      <c r="I299" s="6"/>
      <c r="J299" s="6"/>
      <c r="K299" s="5"/>
      <c r="L299" s="24"/>
      <c r="M299" s="31" t="str">
        <f t="shared" si="9"/>
        <v/>
      </c>
      <c r="N299" s="7" t="str">
        <f t="shared" si="10"/>
        <v/>
      </c>
      <c r="O299" s="8" t="str">
        <f>IF(J299="","",M299/L299)</f>
        <v/>
      </c>
      <c r="P299" s="9" t="str">
        <f>IF(O299="","",(O299/(N299)*365))</f>
        <v/>
      </c>
      <c r="Q299" s="10"/>
    </row>
    <row r="300" spans="1:17" x14ac:dyDescent="0.15">
      <c r="A300" s="21"/>
      <c r="B300" s="20"/>
      <c r="C300" s="20"/>
      <c r="D300" s="20"/>
      <c r="E300" s="20"/>
      <c r="F300" s="21"/>
      <c r="G300" s="22"/>
      <c r="H300" s="11"/>
      <c r="I300" s="15"/>
      <c r="J300" s="15"/>
      <c r="K300" s="14"/>
      <c r="L300" s="22"/>
      <c r="M300" s="32" t="str">
        <f t="shared" si="9"/>
        <v/>
      </c>
      <c r="N300" s="16" t="str">
        <f t="shared" si="10"/>
        <v/>
      </c>
      <c r="O300" s="17" t="str">
        <f>IF(J300="","",M300/L300)</f>
        <v/>
      </c>
      <c r="P300" s="18" t="str">
        <f>IF(O300="","",(O300/(N300)*365))</f>
        <v/>
      </c>
      <c r="Q300" s="19"/>
    </row>
    <row r="301" spans="1:17" x14ac:dyDescent="0.15">
      <c r="A301" s="23"/>
      <c r="B301" s="3"/>
      <c r="C301" s="3"/>
      <c r="D301" s="3"/>
      <c r="E301" s="3"/>
      <c r="F301" s="23"/>
      <c r="G301" s="24"/>
      <c r="H301" s="1"/>
      <c r="I301" s="6"/>
      <c r="J301" s="6"/>
      <c r="K301" s="5"/>
      <c r="L301" s="24"/>
      <c r="M301" s="31" t="str">
        <f t="shared" si="9"/>
        <v/>
      </c>
      <c r="N301" s="7" t="str">
        <f t="shared" si="10"/>
        <v/>
      </c>
      <c r="O301" s="8" t="str">
        <f>IF(J301="","",M301/L301)</f>
        <v/>
      </c>
      <c r="P301" s="9" t="str">
        <f>IF(O301="","",(O301/(N301)*365))</f>
        <v/>
      </c>
      <c r="Q301" s="10"/>
    </row>
    <row r="302" spans="1:17" x14ac:dyDescent="0.15">
      <c r="A302" s="21"/>
      <c r="B302" s="20"/>
      <c r="C302" s="20"/>
      <c r="D302" s="20"/>
      <c r="E302" s="20"/>
      <c r="F302" s="21"/>
      <c r="G302" s="22"/>
      <c r="H302" s="11"/>
      <c r="I302" s="15"/>
      <c r="J302" s="15"/>
      <c r="K302" s="14"/>
      <c r="L302" s="22"/>
      <c r="M302" s="32" t="str">
        <f t="shared" si="9"/>
        <v/>
      </c>
      <c r="N302" s="16" t="str">
        <f t="shared" si="10"/>
        <v/>
      </c>
      <c r="O302" s="17" t="str">
        <f>IF(J302="","",M302/L302)</f>
        <v/>
      </c>
      <c r="P302" s="18" t="str">
        <f>IF(O302="","",(O302/(N302)*365))</f>
        <v/>
      </c>
      <c r="Q302" s="19"/>
    </row>
    <row r="303" spans="1:17" x14ac:dyDescent="0.15">
      <c r="A303" s="23"/>
      <c r="B303" s="3"/>
      <c r="C303" s="3"/>
      <c r="D303" s="3"/>
      <c r="E303" s="3"/>
      <c r="F303" s="23"/>
      <c r="G303" s="24"/>
      <c r="H303" s="1"/>
      <c r="I303" s="6"/>
      <c r="J303" s="6"/>
      <c r="K303" s="5"/>
      <c r="L303" s="24"/>
      <c r="M303" s="31" t="str">
        <f t="shared" si="9"/>
        <v/>
      </c>
      <c r="N303" s="7" t="str">
        <f t="shared" si="10"/>
        <v/>
      </c>
      <c r="O303" s="8" t="str">
        <f>IF(J303="","",M303/L303)</f>
        <v/>
      </c>
      <c r="P303" s="9" t="str">
        <f>IF(O303="","",(O303/(N303)*365))</f>
        <v/>
      </c>
      <c r="Q303" s="10"/>
    </row>
    <row r="304" spans="1:17" x14ac:dyDescent="0.15">
      <c r="A304" s="21"/>
      <c r="B304" s="20"/>
      <c r="C304" s="20"/>
      <c r="D304" s="20"/>
      <c r="E304" s="20"/>
      <c r="F304" s="21"/>
      <c r="G304" s="22"/>
      <c r="H304" s="11"/>
      <c r="I304" s="15"/>
      <c r="J304" s="15"/>
      <c r="K304" s="14"/>
      <c r="L304" s="22"/>
      <c r="M304" s="32" t="str">
        <f t="shared" si="9"/>
        <v/>
      </c>
      <c r="N304" s="16" t="str">
        <f t="shared" si="10"/>
        <v/>
      </c>
      <c r="O304" s="17" t="str">
        <f>IF(J304="","",M304/L304)</f>
        <v/>
      </c>
      <c r="P304" s="18" t="str">
        <f>IF(O304="","",(O304/(N304)*365))</f>
        <v/>
      </c>
      <c r="Q304" s="19"/>
    </row>
    <row r="305" spans="1:17" x14ac:dyDescent="0.15">
      <c r="A305" s="23"/>
      <c r="B305" s="3"/>
      <c r="C305" s="3"/>
      <c r="D305" s="3"/>
      <c r="E305" s="3"/>
      <c r="F305" s="23"/>
      <c r="G305" s="24"/>
      <c r="H305" s="1"/>
      <c r="I305" s="6"/>
      <c r="J305" s="6"/>
      <c r="K305" s="5"/>
      <c r="L305" s="24"/>
      <c r="M305" s="31" t="str">
        <f t="shared" si="9"/>
        <v/>
      </c>
      <c r="N305" s="7" t="str">
        <f t="shared" si="10"/>
        <v/>
      </c>
      <c r="O305" s="8" t="str">
        <f>IF(J305="","",M305/L305)</f>
        <v/>
      </c>
      <c r="P305" s="9" t="str">
        <f>IF(O305="","",(O305/(N305)*365))</f>
        <v/>
      </c>
      <c r="Q305" s="10"/>
    </row>
    <row r="306" spans="1:17" x14ac:dyDescent="0.15">
      <c r="A306" s="21"/>
      <c r="B306" s="20"/>
      <c r="C306" s="20"/>
      <c r="D306" s="20"/>
      <c r="E306" s="20"/>
      <c r="F306" s="21"/>
      <c r="G306" s="22"/>
      <c r="H306" s="11"/>
      <c r="I306" s="15"/>
      <c r="J306" s="15"/>
      <c r="K306" s="14"/>
      <c r="L306" s="22"/>
      <c r="M306" s="32" t="str">
        <f t="shared" si="9"/>
        <v/>
      </c>
      <c r="N306" s="16" t="str">
        <f t="shared" si="10"/>
        <v/>
      </c>
      <c r="O306" s="17" t="str">
        <f>IF(J306="","",M306/L306)</f>
        <v/>
      </c>
      <c r="P306" s="18" t="str">
        <f>IF(O306="","",(O306/(N306)*365))</f>
        <v/>
      </c>
      <c r="Q306" s="19"/>
    </row>
    <row r="307" spans="1:17" x14ac:dyDescent="0.15">
      <c r="A307" s="23"/>
      <c r="B307" s="3"/>
      <c r="C307" s="3"/>
      <c r="D307" s="3"/>
      <c r="E307" s="3"/>
      <c r="F307" s="23"/>
      <c r="G307" s="24"/>
      <c r="H307" s="1"/>
      <c r="I307" s="6"/>
      <c r="J307" s="6"/>
      <c r="K307" s="5"/>
      <c r="L307" s="24"/>
      <c r="M307" s="31" t="str">
        <f t="shared" si="9"/>
        <v/>
      </c>
      <c r="N307" s="7" t="str">
        <f t="shared" si="10"/>
        <v/>
      </c>
      <c r="O307" s="8" t="str">
        <f>IF(J307="","",M307/L307)</f>
        <v/>
      </c>
      <c r="P307" s="9" t="str">
        <f>IF(O307="","",(O307/(N307)*365))</f>
        <v/>
      </c>
      <c r="Q307" s="10"/>
    </row>
    <row r="308" spans="1:17" x14ac:dyDescent="0.15">
      <c r="A308" s="21"/>
      <c r="B308" s="20"/>
      <c r="C308" s="20"/>
      <c r="D308" s="20"/>
      <c r="E308" s="20"/>
      <c r="F308" s="21"/>
      <c r="G308" s="22"/>
      <c r="H308" s="11"/>
      <c r="I308" s="15"/>
      <c r="J308" s="15"/>
      <c r="K308" s="14"/>
      <c r="L308" s="22"/>
      <c r="M308" s="32" t="str">
        <f t="shared" si="9"/>
        <v/>
      </c>
      <c r="N308" s="16" t="str">
        <f t="shared" si="10"/>
        <v/>
      </c>
      <c r="O308" s="17" t="str">
        <f>IF(J308="","",M308/L308)</f>
        <v/>
      </c>
      <c r="P308" s="18" t="str">
        <f>IF(O308="","",(O308/(N308)*365))</f>
        <v/>
      </c>
      <c r="Q308" s="19"/>
    </row>
    <row r="309" spans="1:17" x14ac:dyDescent="0.15">
      <c r="A309" s="23"/>
      <c r="B309" s="3"/>
      <c r="C309" s="3"/>
      <c r="D309" s="3"/>
      <c r="E309" s="3"/>
      <c r="F309" s="23"/>
      <c r="G309" s="24"/>
      <c r="H309" s="1"/>
      <c r="I309" s="6"/>
      <c r="J309" s="6"/>
      <c r="K309" s="5"/>
      <c r="L309" s="24"/>
      <c r="M309" s="31" t="str">
        <f t="shared" si="9"/>
        <v/>
      </c>
      <c r="N309" s="7" t="str">
        <f t="shared" si="10"/>
        <v/>
      </c>
      <c r="O309" s="8" t="str">
        <f>IF(J309="","",M309/L309)</f>
        <v/>
      </c>
      <c r="P309" s="9" t="str">
        <f>IF(O309="","",(O309/(N309)*365))</f>
        <v/>
      </c>
      <c r="Q309" s="10"/>
    </row>
    <row r="310" spans="1:17" x14ac:dyDescent="0.15">
      <c r="A310" s="21"/>
      <c r="B310" s="20"/>
      <c r="C310" s="20"/>
      <c r="D310" s="20"/>
      <c r="E310" s="20"/>
      <c r="F310" s="21"/>
      <c r="G310" s="22"/>
      <c r="H310" s="11"/>
      <c r="I310" s="15"/>
      <c r="J310" s="15"/>
      <c r="K310" s="14"/>
      <c r="L310" s="22"/>
      <c r="M310" s="32" t="str">
        <f t="shared" si="9"/>
        <v/>
      </c>
      <c r="N310" s="16" t="str">
        <f t="shared" si="10"/>
        <v/>
      </c>
      <c r="O310" s="17" t="str">
        <f>IF(J310="","",M310/L310)</f>
        <v/>
      </c>
      <c r="P310" s="18" t="str">
        <f>IF(O310="","",(O310/(N310)*365))</f>
        <v/>
      </c>
      <c r="Q310" s="19"/>
    </row>
    <row r="311" spans="1:17" x14ac:dyDescent="0.15">
      <c r="A311" s="23"/>
      <c r="B311" s="3"/>
      <c r="C311" s="3"/>
      <c r="D311" s="3"/>
      <c r="E311" s="3"/>
      <c r="F311" s="23"/>
      <c r="G311" s="24"/>
      <c r="H311" s="1"/>
      <c r="I311" s="6"/>
      <c r="J311" s="6"/>
      <c r="K311" s="5"/>
      <c r="L311" s="24"/>
      <c r="M311" s="31" t="str">
        <f t="shared" si="9"/>
        <v/>
      </c>
      <c r="N311" s="7" t="str">
        <f t="shared" si="10"/>
        <v/>
      </c>
      <c r="O311" s="8" t="str">
        <f>IF(J311="","",M311/L311)</f>
        <v/>
      </c>
      <c r="P311" s="9" t="str">
        <f>IF(O311="","",(O311/(N311)*365))</f>
        <v/>
      </c>
      <c r="Q311" s="10"/>
    </row>
    <row r="312" spans="1:17" x14ac:dyDescent="0.15">
      <c r="A312" s="21"/>
      <c r="B312" s="20"/>
      <c r="C312" s="20"/>
      <c r="D312" s="20"/>
      <c r="E312" s="20"/>
      <c r="F312" s="21"/>
      <c r="G312" s="22"/>
      <c r="H312" s="11"/>
      <c r="I312" s="15"/>
      <c r="J312" s="15"/>
      <c r="K312" s="14"/>
      <c r="L312" s="22"/>
      <c r="M312" s="32" t="str">
        <f t="shared" si="9"/>
        <v/>
      </c>
      <c r="N312" s="16" t="str">
        <f t="shared" si="10"/>
        <v/>
      </c>
      <c r="O312" s="17" t="str">
        <f>IF(J312="","",M312/L312)</f>
        <v/>
      </c>
      <c r="P312" s="18" t="str">
        <f>IF(O312="","",(O312/(N312)*365))</f>
        <v/>
      </c>
      <c r="Q312" s="19"/>
    </row>
    <row r="313" spans="1:17" x14ac:dyDescent="0.15">
      <c r="A313" s="23"/>
      <c r="B313" s="3"/>
      <c r="C313" s="3"/>
      <c r="D313" s="3"/>
      <c r="E313" s="3"/>
      <c r="F313" s="23"/>
      <c r="G313" s="24"/>
      <c r="H313" s="1"/>
      <c r="I313" s="6"/>
      <c r="J313" s="6"/>
      <c r="K313" s="5"/>
      <c r="L313" s="24"/>
      <c r="M313" s="31" t="str">
        <f t="shared" si="9"/>
        <v/>
      </c>
      <c r="N313" s="7" t="str">
        <f t="shared" si="10"/>
        <v/>
      </c>
      <c r="O313" s="8" t="str">
        <f>IF(J313="","",M313/L313)</f>
        <v/>
      </c>
      <c r="P313" s="9" t="str">
        <f>IF(O313="","",(O313/(N313)*365))</f>
        <v/>
      </c>
      <c r="Q313" s="10"/>
    </row>
    <row r="314" spans="1:17" x14ac:dyDescent="0.15">
      <c r="A314" s="21"/>
      <c r="B314" s="20"/>
      <c r="C314" s="20"/>
      <c r="D314" s="20"/>
      <c r="E314" s="20"/>
      <c r="F314" s="21"/>
      <c r="G314" s="22"/>
      <c r="H314" s="11"/>
      <c r="I314" s="15"/>
      <c r="J314" s="15"/>
      <c r="K314" s="14"/>
      <c r="L314" s="22"/>
      <c r="M314" s="32" t="str">
        <f t="shared" si="9"/>
        <v/>
      </c>
      <c r="N314" s="16" t="str">
        <f t="shared" si="10"/>
        <v/>
      </c>
      <c r="O314" s="17" t="str">
        <f>IF(J314="","",M314/L314)</f>
        <v/>
      </c>
      <c r="P314" s="18" t="str">
        <f>IF(O314="","",(O314/(N314)*365))</f>
        <v/>
      </c>
      <c r="Q314" s="19"/>
    </row>
    <row r="315" spans="1:17" x14ac:dyDescent="0.15">
      <c r="A315" s="23"/>
      <c r="B315" s="3"/>
      <c r="C315" s="3"/>
      <c r="D315" s="3"/>
      <c r="E315" s="3"/>
      <c r="F315" s="23"/>
      <c r="G315" s="24"/>
      <c r="H315" s="1"/>
      <c r="I315" s="6"/>
      <c r="J315" s="6"/>
      <c r="K315" s="5"/>
      <c r="L315" s="24"/>
      <c r="M315" s="31" t="str">
        <f t="shared" si="9"/>
        <v/>
      </c>
      <c r="N315" s="7" t="str">
        <f t="shared" si="10"/>
        <v/>
      </c>
      <c r="O315" s="8" t="str">
        <f>IF(J315="","",M315/L315)</f>
        <v/>
      </c>
      <c r="P315" s="9" t="str">
        <f>IF(O315="","",(O315/(N315)*365))</f>
        <v/>
      </c>
      <c r="Q315" s="10"/>
    </row>
    <row r="316" spans="1:17" x14ac:dyDescent="0.15">
      <c r="A316" s="21"/>
      <c r="B316" s="20"/>
      <c r="C316" s="20"/>
      <c r="D316" s="20"/>
      <c r="E316" s="20"/>
      <c r="F316" s="21"/>
      <c r="G316" s="22"/>
      <c r="H316" s="11"/>
      <c r="I316" s="15"/>
      <c r="J316" s="15"/>
      <c r="K316" s="14"/>
      <c r="L316" s="22"/>
      <c r="M316" s="32" t="str">
        <f t="shared" si="9"/>
        <v/>
      </c>
      <c r="N316" s="16" t="str">
        <f t="shared" si="10"/>
        <v/>
      </c>
      <c r="O316" s="17" t="str">
        <f>IF(J316="","",M316/L316)</f>
        <v/>
      </c>
      <c r="P316" s="18" t="str">
        <f>IF(O316="","",(O316/(N316)*365))</f>
        <v/>
      </c>
      <c r="Q316" s="19"/>
    </row>
    <row r="317" spans="1:17" x14ac:dyDescent="0.15">
      <c r="A317" s="23"/>
      <c r="B317" s="3"/>
      <c r="C317" s="3"/>
      <c r="D317" s="3"/>
      <c r="E317" s="3"/>
      <c r="F317" s="23"/>
      <c r="G317" s="24"/>
      <c r="H317" s="1"/>
      <c r="I317" s="6"/>
      <c r="J317" s="6"/>
      <c r="K317" s="5"/>
      <c r="L317" s="24"/>
      <c r="M317" s="31" t="str">
        <f t="shared" si="9"/>
        <v/>
      </c>
      <c r="N317" s="7" t="str">
        <f t="shared" si="10"/>
        <v/>
      </c>
      <c r="O317" s="8" t="str">
        <f>IF(J317="","",M317/L317)</f>
        <v/>
      </c>
      <c r="P317" s="9" t="str">
        <f>IF(O317="","",(O317/(N317)*365))</f>
        <v/>
      </c>
      <c r="Q317" s="10"/>
    </row>
    <row r="318" spans="1:17" x14ac:dyDescent="0.15">
      <c r="A318" s="21"/>
      <c r="B318" s="20"/>
      <c r="C318" s="20"/>
      <c r="D318" s="20"/>
      <c r="E318" s="20"/>
      <c r="F318" s="21"/>
      <c r="G318" s="22"/>
      <c r="H318" s="11"/>
      <c r="I318" s="15"/>
      <c r="J318" s="15"/>
      <c r="K318" s="14"/>
      <c r="L318" s="22"/>
      <c r="M318" s="32" t="str">
        <f t="shared" si="9"/>
        <v/>
      </c>
      <c r="N318" s="16" t="str">
        <f t="shared" si="10"/>
        <v/>
      </c>
      <c r="O318" s="17" t="str">
        <f>IF(J318="","",M318/L318)</f>
        <v/>
      </c>
      <c r="P318" s="18" t="str">
        <f>IF(O318="","",(O318/(N318)*365))</f>
        <v/>
      </c>
      <c r="Q318" s="19"/>
    </row>
    <row r="319" spans="1:17" x14ac:dyDescent="0.15">
      <c r="A319" s="23"/>
      <c r="B319" s="3"/>
      <c r="C319" s="3"/>
      <c r="D319" s="3"/>
      <c r="E319" s="3"/>
      <c r="F319" s="23"/>
      <c r="G319" s="24"/>
      <c r="H319" s="1"/>
      <c r="I319" s="6"/>
      <c r="J319" s="6"/>
      <c r="K319" s="5"/>
      <c r="L319" s="24"/>
      <c r="M319" s="31" t="str">
        <f t="shared" si="9"/>
        <v/>
      </c>
      <c r="N319" s="7" t="str">
        <f t="shared" si="10"/>
        <v/>
      </c>
      <c r="O319" s="8" t="str">
        <f>IF(J319="","",M319/L319)</f>
        <v/>
      </c>
      <c r="P319" s="9" t="str">
        <f>IF(O319="","",(O319/(N319)*365))</f>
        <v/>
      </c>
      <c r="Q319" s="10"/>
    </row>
    <row r="320" spans="1:17" x14ac:dyDescent="0.15">
      <c r="A320" s="21"/>
      <c r="B320" s="20"/>
      <c r="C320" s="20"/>
      <c r="D320" s="20"/>
      <c r="E320" s="20"/>
      <c r="F320" s="21"/>
      <c r="G320" s="22"/>
      <c r="H320" s="11"/>
      <c r="I320" s="15"/>
      <c r="J320" s="15"/>
      <c r="K320" s="14"/>
      <c r="L320" s="22"/>
      <c r="M320" s="32" t="str">
        <f t="shared" si="9"/>
        <v/>
      </c>
      <c r="N320" s="16" t="str">
        <f t="shared" si="10"/>
        <v/>
      </c>
      <c r="O320" s="17" t="str">
        <f>IF(J320="","",M320/L320)</f>
        <v/>
      </c>
      <c r="P320" s="18" t="str">
        <f>IF(O320="","",(O320/(N320)*365))</f>
        <v/>
      </c>
      <c r="Q320" s="19"/>
    </row>
    <row r="321" spans="1:17" x14ac:dyDescent="0.15">
      <c r="A321" s="23"/>
      <c r="B321" s="3"/>
      <c r="C321" s="3"/>
      <c r="D321" s="3"/>
      <c r="E321" s="3"/>
      <c r="F321" s="23"/>
      <c r="G321" s="24"/>
      <c r="H321" s="1"/>
      <c r="I321" s="6"/>
      <c r="J321" s="6"/>
      <c r="K321" s="5"/>
      <c r="L321" s="24"/>
      <c r="M321" s="31" t="str">
        <f t="shared" si="9"/>
        <v/>
      </c>
      <c r="N321" s="7" t="str">
        <f t="shared" si="10"/>
        <v/>
      </c>
      <c r="O321" s="8" t="str">
        <f>IF(J321="","",M321/L321)</f>
        <v/>
      </c>
      <c r="P321" s="9" t="str">
        <f>IF(O321="","",(O321/(N321)*365))</f>
        <v/>
      </c>
      <c r="Q321" s="10"/>
    </row>
    <row r="322" spans="1:17" x14ac:dyDescent="0.15">
      <c r="A322" s="21"/>
      <c r="B322" s="20"/>
      <c r="C322" s="20"/>
      <c r="D322" s="20"/>
      <c r="E322" s="20"/>
      <c r="F322" s="21"/>
      <c r="G322" s="22"/>
      <c r="H322" s="11"/>
      <c r="I322" s="15"/>
      <c r="J322" s="15"/>
      <c r="K322" s="14"/>
      <c r="L322" s="22"/>
      <c r="M322" s="32" t="str">
        <f t="shared" si="9"/>
        <v/>
      </c>
      <c r="N322" s="16" t="str">
        <f t="shared" si="10"/>
        <v/>
      </c>
      <c r="O322" s="17" t="str">
        <f>IF(J322="","",M322/L322)</f>
        <v/>
      </c>
      <c r="P322" s="18" t="str">
        <f>IF(O322="","",(O322/(N322)*365))</f>
        <v/>
      </c>
      <c r="Q322" s="19"/>
    </row>
    <row r="323" spans="1:17" x14ac:dyDescent="0.15">
      <c r="A323" s="23"/>
      <c r="B323" s="3"/>
      <c r="C323" s="3"/>
      <c r="D323" s="3"/>
      <c r="E323" s="3"/>
      <c r="F323" s="23"/>
      <c r="G323" s="24"/>
      <c r="H323" s="1"/>
      <c r="I323" s="6"/>
      <c r="J323" s="6"/>
      <c r="K323" s="5"/>
      <c r="L323" s="24"/>
      <c r="M323" s="31" t="str">
        <f t="shared" si="9"/>
        <v/>
      </c>
      <c r="N323" s="7" t="str">
        <f t="shared" si="10"/>
        <v/>
      </c>
      <c r="O323" s="8" t="str">
        <f>IF(J323="","",M323/L323)</f>
        <v/>
      </c>
      <c r="P323" s="9" t="str">
        <f>IF(O323="","",(O323/(N323)*365))</f>
        <v/>
      </c>
      <c r="Q323" s="10"/>
    </row>
    <row r="324" spans="1:17" x14ac:dyDescent="0.15">
      <c r="A324" s="21"/>
      <c r="B324" s="20"/>
      <c r="C324" s="20"/>
      <c r="D324" s="20"/>
      <c r="E324" s="20"/>
      <c r="F324" s="21"/>
      <c r="G324" s="22"/>
      <c r="H324" s="11"/>
      <c r="I324" s="15"/>
      <c r="J324" s="15"/>
      <c r="K324" s="14"/>
      <c r="L324" s="22"/>
      <c r="M324" s="32" t="str">
        <f t="shared" si="9"/>
        <v/>
      </c>
      <c r="N324" s="16" t="str">
        <f t="shared" si="10"/>
        <v/>
      </c>
      <c r="O324" s="17" t="str">
        <f>IF(J324="","",M324/L324)</f>
        <v/>
      </c>
      <c r="P324" s="18" t="str">
        <f>IF(O324="","",(O324/(N324)*365))</f>
        <v/>
      </c>
      <c r="Q324" s="19"/>
    </row>
    <row r="325" spans="1:17" x14ac:dyDescent="0.15">
      <c r="A325" s="23"/>
      <c r="B325" s="3"/>
      <c r="C325" s="3"/>
      <c r="D325" s="3"/>
      <c r="E325" s="3"/>
      <c r="F325" s="23"/>
      <c r="G325" s="24"/>
      <c r="H325" s="1"/>
      <c r="I325" s="6"/>
      <c r="J325" s="6"/>
      <c r="K325" s="5"/>
      <c r="L325" s="24"/>
      <c r="M325" s="31" t="str">
        <f t="shared" si="9"/>
        <v/>
      </c>
      <c r="N325" s="7" t="str">
        <f t="shared" si="10"/>
        <v/>
      </c>
      <c r="O325" s="8" t="str">
        <f>IF(J325="","",M325/L325)</f>
        <v/>
      </c>
      <c r="P325" s="9" t="str">
        <f>IF(O325="","",(O325/(N325)*365))</f>
        <v/>
      </c>
      <c r="Q325" s="10"/>
    </row>
    <row r="326" spans="1:17" x14ac:dyDescent="0.15">
      <c r="A326" s="21"/>
      <c r="B326" s="20"/>
      <c r="C326" s="20"/>
      <c r="D326" s="20"/>
      <c r="E326" s="20"/>
      <c r="F326" s="21"/>
      <c r="G326" s="22"/>
      <c r="H326" s="11"/>
      <c r="I326" s="15"/>
      <c r="J326" s="15"/>
      <c r="K326" s="14"/>
      <c r="L326" s="22"/>
      <c r="M326" s="32" t="str">
        <f t="shared" si="9"/>
        <v/>
      </c>
      <c r="N326" s="16" t="str">
        <f t="shared" si="10"/>
        <v/>
      </c>
      <c r="O326" s="17" t="str">
        <f>IF(J326="","",M326/L326)</f>
        <v/>
      </c>
      <c r="P326" s="18" t="str">
        <f>IF(O326="","",(O326/(N326)*365))</f>
        <v/>
      </c>
      <c r="Q326" s="19"/>
    </row>
    <row r="327" spans="1:17" x14ac:dyDescent="0.15">
      <c r="A327" s="23"/>
      <c r="B327" s="3"/>
      <c r="C327" s="3"/>
      <c r="D327" s="3"/>
      <c r="E327" s="3"/>
      <c r="F327" s="23"/>
      <c r="G327" s="24"/>
      <c r="H327" s="1"/>
      <c r="I327" s="6"/>
      <c r="J327" s="6"/>
      <c r="K327" s="5"/>
      <c r="L327" s="24"/>
      <c r="M327" s="31" t="str">
        <f t="shared" si="9"/>
        <v/>
      </c>
      <c r="N327" s="7" t="str">
        <f t="shared" si="10"/>
        <v/>
      </c>
      <c r="O327" s="8" t="str">
        <f>IF(J327="","",M327/L327)</f>
        <v/>
      </c>
      <c r="P327" s="9" t="str">
        <f>IF(O327="","",(O327/(N327)*365))</f>
        <v/>
      </c>
      <c r="Q327" s="10"/>
    </row>
    <row r="328" spans="1:17" x14ac:dyDescent="0.15">
      <c r="A328" s="21"/>
      <c r="B328" s="20"/>
      <c r="C328" s="20"/>
      <c r="D328" s="20"/>
      <c r="E328" s="20"/>
      <c r="F328" s="21"/>
      <c r="G328" s="22"/>
      <c r="H328" s="11"/>
      <c r="I328" s="15"/>
      <c r="J328" s="15"/>
      <c r="K328" s="14"/>
      <c r="L328" s="22"/>
      <c r="M328" s="32" t="str">
        <f t="shared" si="9"/>
        <v/>
      </c>
      <c r="N328" s="16" t="str">
        <f t="shared" si="10"/>
        <v/>
      </c>
      <c r="O328" s="17" t="str">
        <f>IF(J328="","",M328/L328)</f>
        <v/>
      </c>
      <c r="P328" s="18" t="str">
        <f>IF(O328="","",(O328/(N328)*365))</f>
        <v/>
      </c>
      <c r="Q328" s="19"/>
    </row>
    <row r="329" spans="1:17" x14ac:dyDescent="0.15">
      <c r="A329" s="23"/>
      <c r="B329" s="3"/>
      <c r="C329" s="3"/>
      <c r="D329" s="3"/>
      <c r="E329" s="3"/>
      <c r="F329" s="23"/>
      <c r="G329" s="24"/>
      <c r="H329" s="1"/>
      <c r="I329" s="6"/>
      <c r="J329" s="6"/>
      <c r="K329" s="5"/>
      <c r="L329" s="24"/>
      <c r="M329" s="31" t="str">
        <f t="shared" si="9"/>
        <v/>
      </c>
      <c r="N329" s="7" t="str">
        <f t="shared" si="10"/>
        <v/>
      </c>
      <c r="O329" s="8" t="str">
        <f>IF(J329="","",M329/L329)</f>
        <v/>
      </c>
      <c r="P329" s="9" t="str">
        <f>IF(O329="","",(O329/(N329)*365))</f>
        <v/>
      </c>
      <c r="Q329" s="10"/>
    </row>
    <row r="330" spans="1:17" x14ac:dyDescent="0.15">
      <c r="A330" s="21"/>
      <c r="B330" s="20"/>
      <c r="C330" s="20"/>
      <c r="D330" s="20"/>
      <c r="E330" s="20"/>
      <c r="F330" s="21"/>
      <c r="G330" s="22"/>
      <c r="H330" s="11"/>
      <c r="I330" s="15"/>
      <c r="J330" s="15"/>
      <c r="K330" s="14"/>
      <c r="L330" s="22"/>
      <c r="M330" s="32" t="str">
        <f t="shared" si="9"/>
        <v/>
      </c>
      <c r="N330" s="16" t="str">
        <f t="shared" si="10"/>
        <v/>
      </c>
      <c r="O330" s="17" t="str">
        <f>IF(J330="","",M330/L330)</f>
        <v/>
      </c>
      <c r="P330" s="18" t="str">
        <f>IF(O330="","",(O330/(N330)*365))</f>
        <v/>
      </c>
      <c r="Q330" s="19"/>
    </row>
    <row r="331" spans="1:17" x14ac:dyDescent="0.15">
      <c r="A331" s="23"/>
      <c r="B331" s="3"/>
      <c r="C331" s="3"/>
      <c r="D331" s="3"/>
      <c r="E331" s="3"/>
      <c r="F331" s="23"/>
      <c r="G331" s="24"/>
      <c r="H331" s="1"/>
      <c r="I331" s="6"/>
      <c r="J331" s="6"/>
      <c r="K331" s="5"/>
      <c r="L331" s="24"/>
      <c r="M331" s="31" t="str">
        <f t="shared" si="9"/>
        <v/>
      </c>
      <c r="N331" s="7" t="str">
        <f t="shared" si="10"/>
        <v/>
      </c>
      <c r="O331" s="8" t="str">
        <f>IF(J331="","",M331/L331)</f>
        <v/>
      </c>
      <c r="P331" s="9" t="str">
        <f>IF(O331="","",(O331/(N331)*365))</f>
        <v/>
      </c>
      <c r="Q331" s="10"/>
    </row>
    <row r="332" spans="1:17" x14ac:dyDescent="0.15">
      <c r="A332" s="21"/>
      <c r="B332" s="20"/>
      <c r="C332" s="20"/>
      <c r="D332" s="20"/>
      <c r="E332" s="20"/>
      <c r="F332" s="21"/>
      <c r="G332" s="22"/>
      <c r="H332" s="11"/>
      <c r="I332" s="15"/>
      <c r="J332" s="15"/>
      <c r="K332" s="14"/>
      <c r="L332" s="22"/>
      <c r="M332" s="32" t="str">
        <f t="shared" si="9"/>
        <v/>
      </c>
      <c r="N332" s="16" t="str">
        <f t="shared" si="10"/>
        <v/>
      </c>
      <c r="O332" s="17" t="str">
        <f>IF(J332="","",M332/L332)</f>
        <v/>
      </c>
      <c r="P332" s="18" t="str">
        <f>IF(O332="","",(O332/(N332)*365))</f>
        <v/>
      </c>
      <c r="Q332" s="19"/>
    </row>
    <row r="333" spans="1:17" x14ac:dyDescent="0.15">
      <c r="A333" s="23"/>
      <c r="B333" s="3"/>
      <c r="C333" s="3"/>
      <c r="D333" s="3"/>
      <c r="E333" s="3"/>
      <c r="F333" s="23"/>
      <c r="G333" s="24"/>
      <c r="H333" s="1"/>
      <c r="I333" s="6"/>
      <c r="J333" s="6"/>
      <c r="K333" s="5"/>
      <c r="L333" s="24"/>
      <c r="M333" s="31" t="str">
        <f t="shared" si="9"/>
        <v/>
      </c>
      <c r="N333" s="7" t="str">
        <f t="shared" si="10"/>
        <v/>
      </c>
      <c r="O333" s="8" t="str">
        <f>IF(J333="","",M333/L333)</f>
        <v/>
      </c>
      <c r="P333" s="9" t="str">
        <f>IF(O333="","",(O333/(N333)*365))</f>
        <v/>
      </c>
      <c r="Q333" s="10"/>
    </row>
    <row r="334" spans="1:17" x14ac:dyDescent="0.15">
      <c r="A334" s="21"/>
      <c r="B334" s="20"/>
      <c r="C334" s="20"/>
      <c r="D334" s="20"/>
      <c r="E334" s="20"/>
      <c r="F334" s="21"/>
      <c r="G334" s="22"/>
      <c r="H334" s="11"/>
      <c r="I334" s="15"/>
      <c r="J334" s="15"/>
      <c r="K334" s="14"/>
      <c r="L334" s="22"/>
      <c r="M334" s="32" t="str">
        <f t="shared" si="9"/>
        <v/>
      </c>
      <c r="N334" s="16" t="str">
        <f t="shared" si="10"/>
        <v/>
      </c>
      <c r="O334" s="17" t="str">
        <f>IF(J334="","",M334/L334)</f>
        <v/>
      </c>
      <c r="P334" s="18" t="str">
        <f>IF(O334="","",(O334/(N334)*365))</f>
        <v/>
      </c>
      <c r="Q334" s="19"/>
    </row>
    <row r="335" spans="1:17" x14ac:dyDescent="0.15">
      <c r="A335" s="23"/>
      <c r="B335" s="3"/>
      <c r="C335" s="3"/>
      <c r="D335" s="3"/>
      <c r="E335" s="3"/>
      <c r="F335" s="23"/>
      <c r="G335" s="24"/>
      <c r="H335" s="1"/>
      <c r="I335" s="6"/>
      <c r="J335" s="6"/>
      <c r="K335" s="5"/>
      <c r="L335" s="24"/>
      <c r="M335" s="31" t="str">
        <f t="shared" si="9"/>
        <v/>
      </c>
      <c r="N335" s="7" t="str">
        <f t="shared" si="10"/>
        <v/>
      </c>
      <c r="O335" s="8" t="str">
        <f>IF(J335="","",M335/L335)</f>
        <v/>
      </c>
      <c r="P335" s="9" t="str">
        <f>IF(O335="","",(O335/(N335)*365))</f>
        <v/>
      </c>
      <c r="Q335" s="10"/>
    </row>
    <row r="336" spans="1:17" x14ac:dyDescent="0.15">
      <c r="A336" s="21"/>
      <c r="B336" s="20"/>
      <c r="C336" s="20"/>
      <c r="D336" s="20"/>
      <c r="E336" s="20"/>
      <c r="F336" s="21"/>
      <c r="G336" s="22"/>
      <c r="H336" s="11"/>
      <c r="I336" s="15"/>
      <c r="J336" s="15"/>
      <c r="K336" s="14"/>
      <c r="L336" s="22"/>
      <c r="M336" s="32" t="str">
        <f t="shared" si="9"/>
        <v/>
      </c>
      <c r="N336" s="16" t="str">
        <f t="shared" si="10"/>
        <v/>
      </c>
      <c r="O336" s="17" t="str">
        <f>IF(J336="","",M336/L336)</f>
        <v/>
      </c>
      <c r="P336" s="18" t="str">
        <f>IF(O336="","",(O336/(N336)*365))</f>
        <v/>
      </c>
      <c r="Q336" s="19"/>
    </row>
    <row r="337" spans="1:17" x14ac:dyDescent="0.15">
      <c r="A337" s="23"/>
      <c r="B337" s="3"/>
      <c r="C337" s="3"/>
      <c r="D337" s="3"/>
      <c r="E337" s="3"/>
      <c r="F337" s="23"/>
      <c r="G337" s="24"/>
      <c r="H337" s="1"/>
      <c r="I337" s="6"/>
      <c r="J337" s="6"/>
      <c r="K337" s="5"/>
      <c r="L337" s="24"/>
      <c r="M337" s="31" t="str">
        <f t="shared" si="9"/>
        <v/>
      </c>
      <c r="N337" s="7" t="str">
        <f t="shared" si="10"/>
        <v/>
      </c>
      <c r="O337" s="8" t="str">
        <f>IF(J337="","",M337/L337)</f>
        <v/>
      </c>
      <c r="P337" s="9" t="str">
        <f>IF(O337="","",(O337/(N337)*365))</f>
        <v/>
      </c>
      <c r="Q337" s="10"/>
    </row>
    <row r="338" spans="1:17" x14ac:dyDescent="0.15">
      <c r="A338" s="21"/>
      <c r="B338" s="20"/>
      <c r="C338" s="20"/>
      <c r="D338" s="20"/>
      <c r="E338" s="20"/>
      <c r="F338" s="21"/>
      <c r="G338" s="22"/>
      <c r="H338" s="11"/>
      <c r="I338" s="15"/>
      <c r="J338" s="15"/>
      <c r="K338" s="14"/>
      <c r="L338" s="22"/>
      <c r="M338" s="32" t="str">
        <f t="shared" si="9"/>
        <v/>
      </c>
      <c r="N338" s="16" t="str">
        <f t="shared" si="10"/>
        <v/>
      </c>
      <c r="O338" s="17" t="str">
        <f>IF(J338="","",M338/L338)</f>
        <v/>
      </c>
      <c r="P338" s="18" t="str">
        <f>IF(O338="","",(O338/(N338)*365))</f>
        <v/>
      </c>
      <c r="Q338" s="19"/>
    </row>
    <row r="339" spans="1:17" x14ac:dyDescent="0.15">
      <c r="A339" s="23"/>
      <c r="B339" s="3"/>
      <c r="C339" s="3"/>
      <c r="D339" s="3"/>
      <c r="E339" s="3"/>
      <c r="F339" s="23"/>
      <c r="G339" s="24"/>
      <c r="H339" s="1"/>
      <c r="I339" s="6"/>
      <c r="J339" s="6"/>
      <c r="K339" s="5"/>
      <c r="L339" s="24"/>
      <c r="M339" s="31" t="str">
        <f t="shared" si="9"/>
        <v/>
      </c>
      <c r="N339" s="7" t="str">
        <f t="shared" si="10"/>
        <v/>
      </c>
      <c r="O339" s="8" t="str">
        <f>IF(J339="","",M339/L339)</f>
        <v/>
      </c>
      <c r="P339" s="9" t="str">
        <f>IF(O339="","",(O339/(N339)*365))</f>
        <v/>
      </c>
      <c r="Q339" s="10"/>
    </row>
    <row r="340" spans="1:17" x14ac:dyDescent="0.15">
      <c r="A340" s="21"/>
      <c r="B340" s="20"/>
      <c r="C340" s="20"/>
      <c r="D340" s="20"/>
      <c r="E340" s="20"/>
      <c r="F340" s="21"/>
      <c r="G340" s="22"/>
      <c r="H340" s="11"/>
      <c r="I340" s="15"/>
      <c r="J340" s="15"/>
      <c r="K340" s="14"/>
      <c r="L340" s="22"/>
      <c r="M340" s="32" t="str">
        <f t="shared" si="9"/>
        <v/>
      </c>
      <c r="N340" s="16" t="str">
        <f t="shared" si="10"/>
        <v/>
      </c>
      <c r="O340" s="17" t="str">
        <f>IF(J340="","",M340/L340)</f>
        <v/>
      </c>
      <c r="P340" s="18" t="str">
        <f>IF(O340="","",(O340/(N340)*365))</f>
        <v/>
      </c>
      <c r="Q340" s="19"/>
    </row>
    <row r="341" spans="1:17" x14ac:dyDescent="0.15">
      <c r="A341" s="23"/>
      <c r="B341" s="3"/>
      <c r="C341" s="3"/>
      <c r="D341" s="3"/>
      <c r="E341" s="3"/>
      <c r="F341" s="23"/>
      <c r="G341" s="24"/>
      <c r="H341" s="1"/>
      <c r="I341" s="6"/>
      <c r="J341" s="6"/>
      <c r="K341" s="5"/>
      <c r="L341" s="24"/>
      <c r="M341" s="31" t="str">
        <f t="shared" si="9"/>
        <v/>
      </c>
      <c r="N341" s="7" t="str">
        <f t="shared" si="10"/>
        <v/>
      </c>
      <c r="O341" s="8" t="str">
        <f>IF(J341="","",M341/L341)</f>
        <v/>
      </c>
      <c r="P341" s="9" t="str">
        <f>IF(O341="","",(O341/(N341)*365))</f>
        <v/>
      </c>
      <c r="Q341" s="10"/>
    </row>
    <row r="342" spans="1:17" x14ac:dyDescent="0.15">
      <c r="A342" s="21"/>
      <c r="B342" s="20"/>
      <c r="C342" s="20"/>
      <c r="D342" s="20"/>
      <c r="E342" s="20"/>
      <c r="F342" s="21"/>
      <c r="G342" s="22"/>
      <c r="H342" s="11"/>
      <c r="I342" s="15"/>
      <c r="J342" s="15"/>
      <c r="K342" s="14"/>
      <c r="L342" s="22"/>
      <c r="M342" s="32" t="str">
        <f t="shared" si="9"/>
        <v/>
      </c>
      <c r="N342" s="16" t="str">
        <f t="shared" si="10"/>
        <v/>
      </c>
      <c r="O342" s="17" t="str">
        <f>IF(J342="","",M342/L342)</f>
        <v/>
      </c>
      <c r="P342" s="18" t="str">
        <f>IF(O342="","",(O342/(N342)*365))</f>
        <v/>
      </c>
      <c r="Q342" s="19"/>
    </row>
    <row r="343" spans="1:17" x14ac:dyDescent="0.15">
      <c r="A343" s="23"/>
      <c r="B343" s="3"/>
      <c r="C343" s="3"/>
      <c r="D343" s="3"/>
      <c r="E343" s="3"/>
      <c r="F343" s="23"/>
      <c r="G343" s="24"/>
      <c r="H343" s="1"/>
      <c r="I343" s="6"/>
      <c r="J343" s="6"/>
      <c r="K343" s="5"/>
      <c r="L343" s="24"/>
      <c r="M343" s="31" t="str">
        <f t="shared" si="9"/>
        <v/>
      </c>
      <c r="N343" s="7" t="str">
        <f t="shared" si="10"/>
        <v/>
      </c>
      <c r="O343" s="8" t="str">
        <f>IF(J343="","",M343/L343)</f>
        <v/>
      </c>
      <c r="P343" s="9" t="str">
        <f>IF(O343="","",(O343/(N343)*365))</f>
        <v/>
      </c>
      <c r="Q343" s="10"/>
    </row>
    <row r="344" spans="1:17" x14ac:dyDescent="0.15">
      <c r="A344" s="21"/>
      <c r="B344" s="20"/>
      <c r="C344" s="20"/>
      <c r="D344" s="20"/>
      <c r="E344" s="20"/>
      <c r="F344" s="21"/>
      <c r="G344" s="22"/>
      <c r="H344" s="11"/>
      <c r="I344" s="15"/>
      <c r="J344" s="15"/>
      <c r="K344" s="14"/>
      <c r="L344" s="22"/>
      <c r="M344" s="32" t="str">
        <f t="shared" si="9"/>
        <v/>
      </c>
      <c r="N344" s="16" t="str">
        <f t="shared" si="10"/>
        <v/>
      </c>
      <c r="O344" s="17" t="str">
        <f>IF(J344="","",M344/L344)</f>
        <v/>
      </c>
      <c r="P344" s="18" t="str">
        <f>IF(O344="","",(O344/(N344)*365))</f>
        <v/>
      </c>
      <c r="Q344" s="19"/>
    </row>
    <row r="345" spans="1:17" x14ac:dyDescent="0.15">
      <c r="A345" s="23"/>
      <c r="B345" s="3"/>
      <c r="C345" s="3"/>
      <c r="D345" s="3"/>
      <c r="E345" s="3"/>
      <c r="F345" s="23"/>
      <c r="G345" s="24"/>
      <c r="H345" s="1"/>
      <c r="I345" s="6"/>
      <c r="J345" s="6"/>
      <c r="K345" s="5"/>
      <c r="L345" s="24"/>
      <c r="M345" s="31" t="str">
        <f t="shared" si="9"/>
        <v/>
      </c>
      <c r="N345" s="7" t="str">
        <f t="shared" si="10"/>
        <v/>
      </c>
      <c r="O345" s="8" t="str">
        <f>IF(J345="","",M345/L345)</f>
        <v/>
      </c>
      <c r="P345" s="9" t="str">
        <f>IF(O345="","",(O345/(N345)*365))</f>
        <v/>
      </c>
      <c r="Q345" s="10"/>
    </row>
    <row r="346" spans="1:17" x14ac:dyDescent="0.15">
      <c r="A346" s="21"/>
      <c r="B346" s="20"/>
      <c r="C346" s="20"/>
      <c r="D346" s="20"/>
      <c r="E346" s="20"/>
      <c r="F346" s="21"/>
      <c r="G346" s="22"/>
      <c r="H346" s="11"/>
      <c r="I346" s="15"/>
      <c r="J346" s="15"/>
      <c r="K346" s="14"/>
      <c r="L346" s="22"/>
      <c r="M346" s="32" t="str">
        <f t="shared" si="9"/>
        <v/>
      </c>
      <c r="N346" s="16" t="str">
        <f t="shared" si="10"/>
        <v/>
      </c>
      <c r="O346" s="17" t="str">
        <f>IF(J346="","",M346/L346)</f>
        <v/>
      </c>
      <c r="P346" s="18" t="str">
        <f>IF(O346="","",(O346/(N346)*365))</f>
        <v/>
      </c>
      <c r="Q346" s="19"/>
    </row>
    <row r="347" spans="1:17" x14ac:dyDescent="0.15">
      <c r="A347" s="23"/>
      <c r="B347" s="3"/>
      <c r="C347" s="3"/>
      <c r="D347" s="3"/>
      <c r="E347" s="3"/>
      <c r="F347" s="23"/>
      <c r="G347" s="24"/>
      <c r="H347" s="1"/>
      <c r="I347" s="6"/>
      <c r="J347" s="6"/>
      <c r="K347" s="5"/>
      <c r="L347" s="24"/>
      <c r="M347" s="31" t="str">
        <f t="shared" si="9"/>
        <v/>
      </c>
      <c r="N347" s="7" t="str">
        <f t="shared" si="10"/>
        <v/>
      </c>
      <c r="O347" s="8" t="str">
        <f>IF(J347="","",M347/L347)</f>
        <v/>
      </c>
      <c r="P347" s="9" t="str">
        <f>IF(O347="","",(O347/(N347)*365))</f>
        <v/>
      </c>
      <c r="Q347" s="10"/>
    </row>
    <row r="348" spans="1:17" x14ac:dyDescent="0.15">
      <c r="A348" s="21"/>
      <c r="B348" s="20"/>
      <c r="C348" s="20"/>
      <c r="D348" s="20"/>
      <c r="E348" s="20"/>
      <c r="F348" s="21"/>
      <c r="G348" s="22"/>
      <c r="H348" s="11"/>
      <c r="I348" s="15"/>
      <c r="J348" s="15"/>
      <c r="K348" s="14"/>
      <c r="L348" s="22"/>
      <c r="M348" s="32" t="str">
        <f t="shared" si="9"/>
        <v/>
      </c>
      <c r="N348" s="16" t="str">
        <f t="shared" si="10"/>
        <v/>
      </c>
      <c r="O348" s="17" t="str">
        <f>IF(J348="","",M348/L348)</f>
        <v/>
      </c>
      <c r="P348" s="18" t="str">
        <f>IF(O348="","",(O348/(N348)*365))</f>
        <v/>
      </c>
      <c r="Q348" s="19"/>
    </row>
    <row r="349" spans="1:17" x14ac:dyDescent="0.15">
      <c r="A349" s="23"/>
      <c r="B349" s="3"/>
      <c r="C349" s="3"/>
      <c r="D349" s="3"/>
      <c r="E349" s="3"/>
      <c r="F349" s="23"/>
      <c r="G349" s="24"/>
      <c r="H349" s="1"/>
      <c r="I349" s="6"/>
      <c r="J349" s="6"/>
      <c r="K349" s="5"/>
      <c r="L349" s="24"/>
      <c r="M349" s="31" t="str">
        <f t="shared" si="9"/>
        <v/>
      </c>
      <c r="N349" s="7" t="str">
        <f t="shared" si="10"/>
        <v/>
      </c>
      <c r="O349" s="8" t="str">
        <f>IF(J349="","",M349/L349)</f>
        <v/>
      </c>
      <c r="P349" s="9" t="str">
        <f>IF(O349="","",(O349/(N349)*365))</f>
        <v/>
      </c>
      <c r="Q349" s="10"/>
    </row>
    <row r="350" spans="1:17" x14ac:dyDescent="0.15">
      <c r="A350" s="21"/>
      <c r="B350" s="20"/>
      <c r="C350" s="20"/>
      <c r="D350" s="20"/>
      <c r="E350" s="20"/>
      <c r="F350" s="21"/>
      <c r="G350" s="22"/>
      <c r="H350" s="11"/>
      <c r="I350" s="15"/>
      <c r="J350" s="15"/>
      <c r="K350" s="14"/>
      <c r="L350" s="22"/>
      <c r="M350" s="32" t="str">
        <f t="shared" si="9"/>
        <v/>
      </c>
      <c r="N350" s="16" t="str">
        <f t="shared" si="10"/>
        <v/>
      </c>
      <c r="O350" s="17" t="str">
        <f>IF(J350="","",M350/L350)</f>
        <v/>
      </c>
      <c r="P350" s="18" t="str">
        <f>IF(O350="","",(O350/(N350)*365))</f>
        <v/>
      </c>
      <c r="Q350" s="19"/>
    </row>
    <row r="351" spans="1:17" x14ac:dyDescent="0.15">
      <c r="A351" s="23"/>
      <c r="B351" s="3"/>
      <c r="C351" s="3"/>
      <c r="D351" s="3"/>
      <c r="E351" s="3"/>
      <c r="F351" s="23"/>
      <c r="G351" s="24"/>
      <c r="H351" s="1"/>
      <c r="I351" s="6"/>
      <c r="J351" s="6"/>
      <c r="K351" s="5"/>
      <c r="L351" s="24"/>
      <c r="M351" s="31" t="str">
        <f t="shared" si="9"/>
        <v/>
      </c>
      <c r="N351" s="7" t="str">
        <f t="shared" si="10"/>
        <v/>
      </c>
      <c r="O351" s="8" t="str">
        <f>IF(J351="","",M351/L351)</f>
        <v/>
      </c>
      <c r="P351" s="9" t="str">
        <f>IF(O351="","",(O351/(N351)*365))</f>
        <v/>
      </c>
      <c r="Q351" s="10"/>
    </row>
    <row r="352" spans="1:17" x14ac:dyDescent="0.15">
      <c r="A352" s="21"/>
      <c r="B352" s="20"/>
      <c r="C352" s="20"/>
      <c r="D352" s="20"/>
      <c r="E352" s="20"/>
      <c r="F352" s="21"/>
      <c r="G352" s="22"/>
      <c r="H352" s="11"/>
      <c r="I352" s="15"/>
      <c r="J352" s="15"/>
      <c r="K352" s="14"/>
      <c r="L352" s="22"/>
      <c r="M352" s="32" t="str">
        <f t="shared" si="9"/>
        <v/>
      </c>
      <c r="N352" s="16" t="str">
        <f t="shared" si="10"/>
        <v/>
      </c>
      <c r="O352" s="17" t="str">
        <f>IF(J352="","",M352/L352)</f>
        <v/>
      </c>
      <c r="P352" s="18" t="str">
        <f>IF(O352="","",(O352/(N352)*365))</f>
        <v/>
      </c>
      <c r="Q352" s="19"/>
    </row>
    <row r="353" spans="1:17" x14ac:dyDescent="0.15">
      <c r="A353" s="23"/>
      <c r="B353" s="3"/>
      <c r="C353" s="3"/>
      <c r="D353" s="3"/>
      <c r="E353" s="3"/>
      <c r="F353" s="23"/>
      <c r="G353" s="24"/>
      <c r="H353" s="1"/>
      <c r="I353" s="6"/>
      <c r="J353" s="6"/>
      <c r="K353" s="5"/>
      <c r="L353" s="24"/>
      <c r="M353" s="31" t="str">
        <f t="shared" si="9"/>
        <v/>
      </c>
      <c r="N353" s="7" t="str">
        <f t="shared" si="10"/>
        <v/>
      </c>
      <c r="O353" s="8" t="str">
        <f>IF(J353="","",M353/L353)</f>
        <v/>
      </c>
      <c r="P353" s="9" t="str">
        <f>IF(O353="","",(O353/(N353)*365))</f>
        <v/>
      </c>
      <c r="Q353" s="10"/>
    </row>
    <row r="354" spans="1:17" x14ac:dyDescent="0.15">
      <c r="A354" s="21"/>
      <c r="B354" s="20"/>
      <c r="C354" s="20"/>
      <c r="D354" s="20"/>
      <c r="E354" s="20"/>
      <c r="F354" s="21"/>
      <c r="G354" s="22"/>
      <c r="H354" s="11"/>
      <c r="I354" s="15"/>
      <c r="J354" s="15"/>
      <c r="K354" s="14"/>
      <c r="L354" s="22"/>
      <c r="M354" s="32" t="str">
        <f t="shared" si="9"/>
        <v/>
      </c>
      <c r="N354" s="16" t="str">
        <f t="shared" si="10"/>
        <v/>
      </c>
      <c r="O354" s="17" t="str">
        <f>IF(J354="","",M354/L354)</f>
        <v/>
      </c>
      <c r="P354" s="18" t="str">
        <f>IF(O354="","",(O354/(N354)*365))</f>
        <v/>
      </c>
      <c r="Q354" s="19"/>
    </row>
    <row r="355" spans="1:17" x14ac:dyDescent="0.15">
      <c r="A355" s="23"/>
      <c r="B355" s="3"/>
      <c r="C355" s="3"/>
      <c r="D355" s="3"/>
      <c r="E355" s="3"/>
      <c r="F355" s="23"/>
      <c r="G355" s="24"/>
      <c r="H355" s="1"/>
      <c r="I355" s="6"/>
      <c r="J355" s="6"/>
      <c r="K355" s="5"/>
      <c r="L355" s="24"/>
      <c r="M355" s="31" t="str">
        <f t="shared" si="9"/>
        <v/>
      </c>
      <c r="N355" s="7" t="str">
        <f t="shared" si="10"/>
        <v/>
      </c>
      <c r="O355" s="8" t="str">
        <f>IF(J355="","",M355/L355)</f>
        <v/>
      </c>
      <c r="P355" s="9" t="str">
        <f>IF(O355="","",(O355/(N355)*365))</f>
        <v/>
      </c>
      <c r="Q355" s="10"/>
    </row>
    <row r="356" spans="1:17" x14ac:dyDescent="0.15">
      <c r="A356" s="21"/>
      <c r="B356" s="20"/>
      <c r="C356" s="20"/>
      <c r="D356" s="20"/>
      <c r="E356" s="20"/>
      <c r="F356" s="21"/>
      <c r="G356" s="22"/>
      <c r="H356" s="11"/>
      <c r="I356" s="15"/>
      <c r="J356" s="15"/>
      <c r="K356" s="14"/>
      <c r="L356" s="22"/>
      <c r="M356" s="32" t="str">
        <f t="shared" si="9"/>
        <v/>
      </c>
      <c r="N356" s="16" t="str">
        <f t="shared" si="10"/>
        <v/>
      </c>
      <c r="O356" s="17" t="str">
        <f>IF(J356="","",M356/L356)</f>
        <v/>
      </c>
      <c r="P356" s="18" t="str">
        <f>IF(O356="","",(O356/(N356)*365))</f>
        <v/>
      </c>
      <c r="Q356" s="19"/>
    </row>
    <row r="357" spans="1:17" x14ac:dyDescent="0.15">
      <c r="A357" s="23"/>
      <c r="B357" s="3"/>
      <c r="C357" s="3"/>
      <c r="D357" s="3"/>
      <c r="E357" s="3"/>
      <c r="F357" s="23"/>
      <c r="G357" s="24"/>
      <c r="H357" s="1"/>
      <c r="I357" s="6"/>
      <c r="J357" s="6"/>
      <c r="K357" s="5"/>
      <c r="L357" s="24"/>
      <c r="M357" s="31" t="str">
        <f t="shared" si="9"/>
        <v/>
      </c>
      <c r="N357" s="7" t="str">
        <f t="shared" si="10"/>
        <v/>
      </c>
      <c r="O357" s="8" t="str">
        <f>IF(J357="","",M357/L357)</f>
        <v/>
      </c>
      <c r="P357" s="9" t="str">
        <f>IF(O357="","",(O357/(N357)*365))</f>
        <v/>
      </c>
      <c r="Q357" s="10"/>
    </row>
    <row r="358" spans="1:17" x14ac:dyDescent="0.15">
      <c r="A358" s="21"/>
      <c r="B358" s="20"/>
      <c r="C358" s="20"/>
      <c r="D358" s="20"/>
      <c r="E358" s="20"/>
      <c r="F358" s="21"/>
      <c r="G358" s="22"/>
      <c r="H358" s="11"/>
      <c r="I358" s="15"/>
      <c r="J358" s="15"/>
      <c r="K358" s="14"/>
      <c r="L358" s="22"/>
      <c r="M358" s="32" t="str">
        <f t="shared" si="9"/>
        <v/>
      </c>
      <c r="N358" s="16" t="str">
        <f t="shared" si="10"/>
        <v/>
      </c>
      <c r="O358" s="17" t="str">
        <f>IF(J358="","",M358/L358)</f>
        <v/>
      </c>
      <c r="P358" s="18" t="str">
        <f>IF(O358="","",(O358/(N358)*365))</f>
        <v/>
      </c>
      <c r="Q358" s="19"/>
    </row>
    <row r="359" spans="1:17" x14ac:dyDescent="0.15">
      <c r="A359" s="23"/>
      <c r="B359" s="3"/>
      <c r="C359" s="3"/>
      <c r="D359" s="3"/>
      <c r="E359" s="3"/>
      <c r="F359" s="23"/>
      <c r="G359" s="24"/>
      <c r="H359" s="1"/>
      <c r="I359" s="6"/>
      <c r="J359" s="6"/>
      <c r="K359" s="5"/>
      <c r="L359" s="24"/>
      <c r="M359" s="31" t="str">
        <f t="shared" si="9"/>
        <v/>
      </c>
      <c r="N359" s="7" t="str">
        <f t="shared" si="10"/>
        <v/>
      </c>
      <c r="O359" s="8" t="str">
        <f>IF(J359="","",M359/L359)</f>
        <v/>
      </c>
      <c r="P359" s="9" t="str">
        <f>IF(O359="","",(O359/(N359)*365))</f>
        <v/>
      </c>
      <c r="Q359" s="10"/>
    </row>
    <row r="360" spans="1:17" x14ac:dyDescent="0.15">
      <c r="A360" s="21"/>
      <c r="B360" s="20"/>
      <c r="C360" s="20"/>
      <c r="D360" s="20"/>
      <c r="E360" s="20"/>
      <c r="F360" s="21"/>
      <c r="G360" s="22"/>
      <c r="H360" s="11"/>
      <c r="I360" s="15"/>
      <c r="J360" s="15"/>
      <c r="K360" s="14"/>
      <c r="L360" s="22"/>
      <c r="M360" s="32" t="str">
        <f t="shared" si="9"/>
        <v/>
      </c>
      <c r="N360" s="16" t="str">
        <f t="shared" si="10"/>
        <v/>
      </c>
      <c r="O360" s="17" t="str">
        <f>IF(J360="","",M360/L360)</f>
        <v/>
      </c>
      <c r="P360" s="18" t="str">
        <f>IF(O360="","",(O360/(N360)*365))</f>
        <v/>
      </c>
      <c r="Q360" s="19"/>
    </row>
    <row r="361" spans="1:17" x14ac:dyDescent="0.15">
      <c r="A361" s="23"/>
      <c r="B361" s="3"/>
      <c r="C361" s="3"/>
      <c r="D361" s="3"/>
      <c r="E361" s="3"/>
      <c r="F361" s="23"/>
      <c r="G361" s="24"/>
      <c r="H361" s="1"/>
      <c r="I361" s="6"/>
      <c r="J361" s="6"/>
      <c r="K361" s="5"/>
      <c r="L361" s="24"/>
      <c r="M361" s="31" t="str">
        <f t="shared" si="9"/>
        <v/>
      </c>
      <c r="N361" s="7" t="str">
        <f t="shared" si="10"/>
        <v/>
      </c>
      <c r="O361" s="8" t="str">
        <f>IF(J361="","",M361/L361)</f>
        <v/>
      </c>
      <c r="P361" s="9" t="str">
        <f>IF(O361="","",(O361/(N361)*365))</f>
        <v/>
      </c>
      <c r="Q361" s="10"/>
    </row>
    <row r="362" spans="1:17" x14ac:dyDescent="0.15">
      <c r="A362" s="21"/>
      <c r="B362" s="20"/>
      <c r="C362" s="20"/>
      <c r="D362" s="20"/>
      <c r="E362" s="20"/>
      <c r="F362" s="21"/>
      <c r="G362" s="22"/>
      <c r="H362" s="11"/>
      <c r="I362" s="15"/>
      <c r="J362" s="15"/>
      <c r="K362" s="14"/>
      <c r="L362" s="22"/>
      <c r="M362" s="32" t="str">
        <f t="shared" si="9"/>
        <v/>
      </c>
      <c r="N362" s="16" t="str">
        <f t="shared" si="10"/>
        <v/>
      </c>
      <c r="O362" s="17" t="str">
        <f>IF(J362="","",M362/L362)</f>
        <v/>
      </c>
      <c r="P362" s="18" t="str">
        <f>IF(O362="","",(O362/(N362)*365))</f>
        <v/>
      </c>
      <c r="Q362" s="19"/>
    </row>
    <row r="363" spans="1:17" x14ac:dyDescent="0.15">
      <c r="A363" s="23"/>
      <c r="B363" s="3"/>
      <c r="C363" s="3"/>
      <c r="D363" s="3"/>
      <c r="E363" s="3"/>
      <c r="F363" s="23"/>
      <c r="G363" s="24"/>
      <c r="H363" s="1"/>
      <c r="I363" s="6"/>
      <c r="J363" s="6"/>
      <c r="K363" s="5"/>
      <c r="L363" s="24"/>
      <c r="M363" s="31" t="str">
        <f t="shared" si="9"/>
        <v/>
      </c>
      <c r="N363" s="7" t="str">
        <f t="shared" si="10"/>
        <v/>
      </c>
      <c r="O363" s="8" t="str">
        <f>IF(J363="","",M363/L363)</f>
        <v/>
      </c>
      <c r="P363" s="9" t="str">
        <f>IF(O363="","",(O363/(N363)*365))</f>
        <v/>
      </c>
      <c r="Q363" s="10"/>
    </row>
    <row r="364" spans="1:17" x14ac:dyDescent="0.15">
      <c r="A364" s="21"/>
      <c r="B364" s="20"/>
      <c r="C364" s="20"/>
      <c r="D364" s="20"/>
      <c r="E364" s="20"/>
      <c r="F364" s="21"/>
      <c r="G364" s="22"/>
      <c r="H364" s="11"/>
      <c r="I364" s="15"/>
      <c r="J364" s="15"/>
      <c r="K364" s="14"/>
      <c r="L364" s="22"/>
      <c r="M364" s="32" t="str">
        <f t="shared" si="9"/>
        <v/>
      </c>
      <c r="N364" s="16" t="str">
        <f t="shared" si="10"/>
        <v/>
      </c>
      <c r="O364" s="17" t="str">
        <f>IF(J364="","",M364/L364)</f>
        <v/>
      </c>
      <c r="P364" s="18" t="str">
        <f>IF(O364="","",(O364/(N364)*365))</f>
        <v/>
      </c>
      <c r="Q364" s="19"/>
    </row>
    <row r="365" spans="1:17" x14ac:dyDescent="0.15">
      <c r="A365" s="23"/>
      <c r="B365" s="3"/>
      <c r="C365" s="3"/>
      <c r="D365" s="3"/>
      <c r="E365" s="3"/>
      <c r="F365" s="23"/>
      <c r="G365" s="24"/>
      <c r="H365" s="1"/>
      <c r="I365" s="6"/>
      <c r="J365" s="6"/>
      <c r="K365" s="5"/>
      <c r="L365" s="24"/>
      <c r="M365" s="31" t="str">
        <f t="shared" si="9"/>
        <v/>
      </c>
      <c r="N365" s="7" t="str">
        <f t="shared" si="10"/>
        <v/>
      </c>
      <c r="O365" s="8" t="str">
        <f>IF(J365="","",M365/L365)</f>
        <v/>
      </c>
      <c r="P365" s="9" t="str">
        <f>IF(O365="","",(O365/(N365)*365))</f>
        <v/>
      </c>
      <c r="Q365" s="10"/>
    </row>
    <row r="366" spans="1:17" x14ac:dyDescent="0.15">
      <c r="A366" s="21"/>
      <c r="B366" s="20"/>
      <c r="C366" s="20"/>
      <c r="D366" s="20"/>
      <c r="E366" s="20"/>
      <c r="F366" s="21"/>
      <c r="G366" s="22"/>
      <c r="H366" s="11"/>
      <c r="I366" s="15"/>
      <c r="J366" s="15"/>
      <c r="K366" s="14"/>
      <c r="L366" s="22"/>
      <c r="M366" s="32" t="str">
        <f t="shared" si="9"/>
        <v/>
      </c>
      <c r="N366" s="16" t="str">
        <f t="shared" si="10"/>
        <v/>
      </c>
      <c r="O366" s="17" t="str">
        <f>IF(J366="","",M366/L366)</f>
        <v/>
      </c>
      <c r="P366" s="18" t="str">
        <f>IF(O366="","",(O366/(N366)*365))</f>
        <v/>
      </c>
      <c r="Q366" s="19"/>
    </row>
    <row r="367" spans="1:17" x14ac:dyDescent="0.15">
      <c r="A367" s="23"/>
      <c r="B367" s="3"/>
      <c r="C367" s="3"/>
      <c r="D367" s="3"/>
      <c r="E367" s="3"/>
      <c r="F367" s="23"/>
      <c r="G367" s="24"/>
      <c r="H367" s="1"/>
      <c r="I367" s="6"/>
      <c r="J367" s="6"/>
      <c r="K367" s="5"/>
      <c r="L367" s="24"/>
      <c r="M367" s="31" t="str">
        <f t="shared" si="9"/>
        <v/>
      </c>
      <c r="N367" s="7" t="str">
        <f t="shared" si="10"/>
        <v/>
      </c>
      <c r="O367" s="8" t="str">
        <f>IF(J367="","",M367/L367)</f>
        <v/>
      </c>
      <c r="P367" s="9" t="str">
        <f>IF(O367="","",(O367/(N367)*365))</f>
        <v/>
      </c>
      <c r="Q367" s="10"/>
    </row>
    <row r="368" spans="1:17" x14ac:dyDescent="0.15">
      <c r="A368" s="21"/>
      <c r="B368" s="20"/>
      <c r="C368" s="20"/>
      <c r="D368" s="20"/>
      <c r="E368" s="20"/>
      <c r="F368" s="21"/>
      <c r="G368" s="22"/>
      <c r="H368" s="11"/>
      <c r="I368" s="15"/>
      <c r="J368" s="15"/>
      <c r="K368" s="14"/>
      <c r="L368" s="22"/>
      <c r="M368" s="32" t="str">
        <f t="shared" si="9"/>
        <v/>
      </c>
      <c r="N368" s="16" t="str">
        <f t="shared" si="10"/>
        <v/>
      </c>
      <c r="O368" s="17" t="str">
        <f>IF(J368="","",M368/L368)</f>
        <v/>
      </c>
      <c r="P368" s="18" t="str">
        <f>IF(O368="","",(O368/(N368)*365))</f>
        <v/>
      </c>
      <c r="Q368" s="19"/>
    </row>
    <row r="369" spans="1:17" x14ac:dyDescent="0.15">
      <c r="A369" s="23"/>
      <c r="B369" s="3"/>
      <c r="C369" s="3"/>
      <c r="D369" s="3"/>
      <c r="E369" s="3"/>
      <c r="F369" s="23"/>
      <c r="G369" s="24"/>
      <c r="H369" s="1"/>
      <c r="I369" s="6"/>
      <c r="J369" s="6"/>
      <c r="K369" s="5"/>
      <c r="L369" s="24"/>
      <c r="M369" s="31" t="str">
        <f t="shared" si="9"/>
        <v/>
      </c>
      <c r="N369" s="7" t="str">
        <f t="shared" si="10"/>
        <v/>
      </c>
      <c r="O369" s="8" t="str">
        <f>IF(J369="","",M369/L369)</f>
        <v/>
      </c>
      <c r="P369" s="9" t="str">
        <f>IF(O369="","",(O369/(N369)*365))</f>
        <v/>
      </c>
      <c r="Q369" s="10"/>
    </row>
    <row r="370" spans="1:17" x14ac:dyDescent="0.15">
      <c r="A370" s="21"/>
      <c r="B370" s="20"/>
      <c r="C370" s="20"/>
      <c r="D370" s="20"/>
      <c r="E370" s="20"/>
      <c r="F370" s="21"/>
      <c r="G370" s="22"/>
      <c r="H370" s="11"/>
      <c r="I370" s="15"/>
      <c r="J370" s="15"/>
      <c r="K370" s="14"/>
      <c r="L370" s="22"/>
      <c r="M370" s="32" t="str">
        <f t="shared" si="9"/>
        <v/>
      </c>
      <c r="N370" s="16" t="str">
        <f t="shared" si="10"/>
        <v/>
      </c>
      <c r="O370" s="17" t="str">
        <f>IF(J370="","",M370/L370)</f>
        <v/>
      </c>
      <c r="P370" s="18" t="str">
        <f>IF(O370="","",(O370/(N370)*365))</f>
        <v/>
      </c>
      <c r="Q370" s="19"/>
    </row>
    <row r="371" spans="1:17" x14ac:dyDescent="0.15">
      <c r="A371" s="23"/>
      <c r="B371" s="3"/>
      <c r="C371" s="3"/>
      <c r="D371" s="3"/>
      <c r="E371" s="3"/>
      <c r="F371" s="23"/>
      <c r="G371" s="24"/>
      <c r="H371" s="1"/>
      <c r="I371" s="6"/>
      <c r="J371" s="6"/>
      <c r="K371" s="5"/>
      <c r="L371" s="24"/>
      <c r="M371" s="31" t="str">
        <f t="shared" si="9"/>
        <v/>
      </c>
      <c r="N371" s="7" t="str">
        <f t="shared" si="10"/>
        <v/>
      </c>
      <c r="O371" s="8" t="str">
        <f>IF(J371="","",M371/L371)</f>
        <v/>
      </c>
      <c r="P371" s="9" t="str">
        <f>IF(O371="","",(O371/(N371)*365))</f>
        <v/>
      </c>
      <c r="Q371" s="10"/>
    </row>
    <row r="372" spans="1:17" x14ac:dyDescent="0.15">
      <c r="A372" s="21"/>
      <c r="B372" s="20"/>
      <c r="C372" s="20"/>
      <c r="D372" s="20"/>
      <c r="E372" s="20"/>
      <c r="F372" s="21"/>
      <c r="G372" s="22"/>
      <c r="H372" s="11"/>
      <c r="I372" s="15"/>
      <c r="J372" s="15"/>
      <c r="K372" s="14"/>
      <c r="L372" s="22"/>
      <c r="M372" s="32" t="str">
        <f t="shared" si="9"/>
        <v/>
      </c>
      <c r="N372" s="16" t="str">
        <f t="shared" si="10"/>
        <v/>
      </c>
      <c r="O372" s="17" t="str">
        <f>IF(J372="","",M372/L372)</f>
        <v/>
      </c>
      <c r="P372" s="18" t="str">
        <f>IF(O372="","",(O372/(N372)*365))</f>
        <v/>
      </c>
      <c r="Q372" s="19"/>
    </row>
    <row r="373" spans="1:17" x14ac:dyDescent="0.15">
      <c r="A373" s="23"/>
      <c r="B373" s="3"/>
      <c r="C373" s="3"/>
      <c r="D373" s="3"/>
      <c r="E373" s="3"/>
      <c r="F373" s="23"/>
      <c r="G373" s="24"/>
      <c r="H373" s="1"/>
      <c r="I373" s="6"/>
      <c r="J373" s="6"/>
      <c r="K373" s="5"/>
      <c r="L373" s="24"/>
      <c r="M373" s="31" t="str">
        <f t="shared" si="9"/>
        <v/>
      </c>
      <c r="N373" s="7" t="str">
        <f t="shared" si="10"/>
        <v/>
      </c>
      <c r="O373" s="8" t="str">
        <f>IF(J373="","",M373/L373)</f>
        <v/>
      </c>
      <c r="P373" s="9" t="str">
        <f>IF(O373="","",(O373/(N373)*365))</f>
        <v/>
      </c>
      <c r="Q373" s="10"/>
    </row>
    <row r="374" spans="1:17" x14ac:dyDescent="0.15">
      <c r="A374" s="21"/>
      <c r="B374" s="20"/>
      <c r="C374" s="20"/>
      <c r="D374" s="20"/>
      <c r="E374" s="20"/>
      <c r="F374" s="21"/>
      <c r="G374" s="22"/>
      <c r="H374" s="11"/>
      <c r="I374" s="15"/>
      <c r="J374" s="15"/>
      <c r="K374" s="14"/>
      <c r="L374" s="22"/>
      <c r="M374" s="32" t="str">
        <f t="shared" si="9"/>
        <v/>
      </c>
      <c r="N374" s="16" t="str">
        <f t="shared" si="10"/>
        <v/>
      </c>
      <c r="O374" s="17" t="str">
        <f>IF(J374="","",M374/L374)</f>
        <v/>
      </c>
      <c r="P374" s="18" t="str">
        <f>IF(O374="","",(O374/(N374)*365))</f>
        <v/>
      </c>
      <c r="Q374" s="19"/>
    </row>
    <row r="375" spans="1:17" x14ac:dyDescent="0.15">
      <c r="A375" s="23"/>
      <c r="B375" s="3"/>
      <c r="C375" s="3"/>
      <c r="D375" s="3"/>
      <c r="E375" s="3"/>
      <c r="F375" s="23"/>
      <c r="G375" s="24"/>
      <c r="H375" s="1"/>
      <c r="I375" s="6"/>
      <c r="J375" s="6"/>
      <c r="K375" s="5"/>
      <c r="L375" s="24"/>
      <c r="M375" s="31" t="str">
        <f t="shared" si="9"/>
        <v/>
      </c>
      <c r="N375" s="7" t="str">
        <f t="shared" si="10"/>
        <v/>
      </c>
      <c r="O375" s="8" t="str">
        <f>IF(J375="","",M375/L375)</f>
        <v/>
      </c>
      <c r="P375" s="9" t="str">
        <f>IF(O375="","",(O375/(N375)*365))</f>
        <v/>
      </c>
      <c r="Q375" s="10"/>
    </row>
    <row r="376" spans="1:17" x14ac:dyDescent="0.15">
      <c r="A376" s="21"/>
      <c r="B376" s="20"/>
      <c r="C376" s="20"/>
      <c r="D376" s="20"/>
      <c r="E376" s="20"/>
      <c r="F376" s="21"/>
      <c r="G376" s="22"/>
      <c r="H376" s="11"/>
      <c r="I376" s="15"/>
      <c r="J376" s="15"/>
      <c r="K376" s="14"/>
      <c r="L376" s="22"/>
      <c r="M376" s="32" t="str">
        <f t="shared" si="9"/>
        <v/>
      </c>
      <c r="N376" s="16" t="str">
        <f t="shared" si="10"/>
        <v/>
      </c>
      <c r="O376" s="17" t="str">
        <f>IF(J376="","",M376/L376)</f>
        <v/>
      </c>
      <c r="P376" s="18" t="str">
        <f>IF(O376="","",(O376/(N376)*365))</f>
        <v/>
      </c>
      <c r="Q376" s="19"/>
    </row>
    <row r="377" spans="1:17" x14ac:dyDescent="0.15">
      <c r="A377" s="23"/>
      <c r="B377" s="3"/>
      <c r="C377" s="3"/>
      <c r="D377" s="3"/>
      <c r="E377" s="3"/>
      <c r="F377" s="23"/>
      <c r="G377" s="24"/>
      <c r="H377" s="1"/>
      <c r="I377" s="6"/>
      <c r="J377" s="6"/>
      <c r="K377" s="5"/>
      <c r="L377" s="24"/>
      <c r="M377" s="31" t="str">
        <f t="shared" si="9"/>
        <v/>
      </c>
      <c r="N377" s="7" t="str">
        <f t="shared" si="10"/>
        <v/>
      </c>
      <c r="O377" s="8" t="str">
        <f>IF(J377="","",M377/L377)</f>
        <v/>
      </c>
      <c r="P377" s="9" t="str">
        <f>IF(O377="","",(O377/(N377)*365))</f>
        <v/>
      </c>
      <c r="Q377" s="10"/>
    </row>
    <row r="378" spans="1:17" x14ac:dyDescent="0.15">
      <c r="A378" s="21"/>
      <c r="B378" s="20"/>
      <c r="C378" s="20"/>
      <c r="D378" s="20"/>
      <c r="E378" s="20"/>
      <c r="F378" s="21"/>
      <c r="G378" s="22"/>
      <c r="H378" s="11"/>
      <c r="I378" s="15"/>
      <c r="J378" s="15"/>
      <c r="K378" s="14"/>
      <c r="L378" s="22"/>
      <c r="M378" s="32" t="str">
        <f t="shared" si="9"/>
        <v/>
      </c>
      <c r="N378" s="16" t="str">
        <f t="shared" si="10"/>
        <v/>
      </c>
      <c r="O378" s="17" t="str">
        <f>IF(J378="","",M378/L378)</f>
        <v/>
      </c>
      <c r="P378" s="18" t="str">
        <f>IF(O378="","",(O378/(N378)*365))</f>
        <v/>
      </c>
      <c r="Q378" s="19"/>
    </row>
    <row r="379" spans="1:17" x14ac:dyDescent="0.15">
      <c r="A379" s="23"/>
      <c r="B379" s="3"/>
      <c r="C379" s="3"/>
      <c r="D379" s="3"/>
      <c r="E379" s="3"/>
      <c r="F379" s="23"/>
      <c r="G379" s="24"/>
      <c r="H379" s="1"/>
      <c r="I379" s="6"/>
      <c r="J379" s="6"/>
      <c r="K379" s="5"/>
      <c r="L379" s="24"/>
      <c r="M379" s="31" t="str">
        <f t="shared" si="9"/>
        <v/>
      </c>
      <c r="N379" s="7" t="str">
        <f t="shared" si="10"/>
        <v/>
      </c>
      <c r="O379" s="8" t="str">
        <f>IF(J379="","",M379/L379)</f>
        <v/>
      </c>
      <c r="P379" s="9" t="str">
        <f>IF(O379="","",(O379/(N379)*365))</f>
        <v/>
      </c>
      <c r="Q379" s="10"/>
    </row>
    <row r="380" spans="1:17" x14ac:dyDescent="0.15">
      <c r="A380" s="21"/>
      <c r="B380" s="20"/>
      <c r="C380" s="20"/>
      <c r="D380" s="20"/>
      <c r="E380" s="20"/>
      <c r="F380" s="21"/>
      <c r="G380" s="22"/>
      <c r="H380" s="11"/>
      <c r="I380" s="15"/>
      <c r="J380" s="15"/>
      <c r="K380" s="14"/>
      <c r="L380" s="22"/>
      <c r="M380" s="32" t="str">
        <f t="shared" si="9"/>
        <v/>
      </c>
      <c r="N380" s="16" t="str">
        <f t="shared" si="10"/>
        <v/>
      </c>
      <c r="O380" s="17" t="str">
        <f>IF(J380="","",M380/L380)</f>
        <v/>
      </c>
      <c r="P380" s="18" t="str">
        <f>IF(O380="","",(O380/(N380)*365))</f>
        <v/>
      </c>
      <c r="Q380" s="19"/>
    </row>
    <row r="381" spans="1:17" x14ac:dyDescent="0.15">
      <c r="A381" s="23"/>
      <c r="B381" s="3"/>
      <c r="C381" s="3"/>
      <c r="D381" s="3"/>
      <c r="E381" s="3"/>
      <c r="F381" s="23"/>
      <c r="G381" s="24"/>
      <c r="H381" s="1"/>
      <c r="I381" s="6"/>
      <c r="J381" s="6"/>
      <c r="K381" s="5"/>
      <c r="L381" s="24"/>
      <c r="M381" s="31" t="str">
        <f t="shared" si="9"/>
        <v/>
      </c>
      <c r="N381" s="7" t="str">
        <f t="shared" si="10"/>
        <v/>
      </c>
      <c r="O381" s="8" t="str">
        <f>IF(J381="","",M381/L381)</f>
        <v/>
      </c>
      <c r="P381" s="9" t="str">
        <f>IF(O381="","",(O381/(N381)*365))</f>
        <v/>
      </c>
      <c r="Q381" s="10"/>
    </row>
    <row r="382" spans="1:17" x14ac:dyDescent="0.15">
      <c r="A382" s="21"/>
      <c r="B382" s="20"/>
      <c r="C382" s="20"/>
      <c r="D382" s="20"/>
      <c r="E382" s="20"/>
      <c r="F382" s="21"/>
      <c r="G382" s="22"/>
      <c r="H382" s="11"/>
      <c r="I382" s="15"/>
      <c r="J382" s="15"/>
      <c r="K382" s="14"/>
      <c r="L382" s="22"/>
      <c r="M382" s="32" t="str">
        <f t="shared" si="9"/>
        <v/>
      </c>
      <c r="N382" s="16" t="str">
        <f t="shared" si="10"/>
        <v/>
      </c>
      <c r="O382" s="17" t="str">
        <f>IF(J382="","",M382/L382)</f>
        <v/>
      </c>
      <c r="P382" s="18" t="str">
        <f>IF(O382="","",(O382/(N382)*365))</f>
        <v/>
      </c>
      <c r="Q382" s="19"/>
    </row>
    <row r="383" spans="1:17" x14ac:dyDescent="0.15">
      <c r="A383" s="23"/>
      <c r="B383" s="3"/>
      <c r="C383" s="3"/>
      <c r="D383" s="3"/>
      <c r="E383" s="3"/>
      <c r="F383" s="23"/>
      <c r="G383" s="24"/>
      <c r="H383" s="1"/>
      <c r="I383" s="6"/>
      <c r="J383" s="6"/>
      <c r="K383" s="5"/>
      <c r="L383" s="24"/>
      <c r="M383" s="31" t="str">
        <f t="shared" si="9"/>
        <v/>
      </c>
      <c r="N383" s="7" t="str">
        <f t="shared" si="10"/>
        <v/>
      </c>
      <c r="O383" s="8" t="str">
        <f>IF(J383="","",M383/L383)</f>
        <v/>
      </c>
      <c r="P383" s="9" t="str">
        <f>IF(O383="","",(O383/(N383)*365))</f>
        <v/>
      </c>
      <c r="Q383" s="10"/>
    </row>
    <row r="384" spans="1:17" x14ac:dyDescent="0.15">
      <c r="A384" s="21"/>
      <c r="B384" s="20"/>
      <c r="C384" s="20"/>
      <c r="D384" s="20"/>
      <c r="E384" s="20"/>
      <c r="F384" s="21"/>
      <c r="G384" s="22"/>
      <c r="H384" s="11"/>
      <c r="I384" s="15"/>
      <c r="J384" s="15"/>
      <c r="K384" s="14"/>
      <c r="L384" s="22"/>
      <c r="M384" s="32" t="str">
        <f t="shared" si="9"/>
        <v/>
      </c>
      <c r="N384" s="16" t="str">
        <f t="shared" si="10"/>
        <v/>
      </c>
      <c r="O384" s="17" t="str">
        <f>IF(J384="","",M384/L384)</f>
        <v/>
      </c>
      <c r="P384" s="18" t="str">
        <f>IF(O384="","",(O384/(N384)*365))</f>
        <v/>
      </c>
      <c r="Q384" s="19"/>
    </row>
    <row r="385" spans="1:17" x14ac:dyDescent="0.15">
      <c r="A385" s="23"/>
      <c r="B385" s="3"/>
      <c r="C385" s="3"/>
      <c r="D385" s="3"/>
      <c r="E385" s="3"/>
      <c r="F385" s="23"/>
      <c r="G385" s="24"/>
      <c r="H385" s="1"/>
      <c r="I385" s="6"/>
      <c r="J385" s="6"/>
      <c r="K385" s="5"/>
      <c r="L385" s="24"/>
      <c r="M385" s="31" t="str">
        <f t="shared" si="9"/>
        <v/>
      </c>
      <c r="N385" s="7" t="str">
        <f t="shared" si="10"/>
        <v/>
      </c>
      <c r="O385" s="8" t="str">
        <f>IF(J385="","",M385/L385)</f>
        <v/>
      </c>
      <c r="P385" s="9" t="str">
        <f>IF(O385="","",(O385/(N385)*365))</f>
        <v/>
      </c>
      <c r="Q385" s="10"/>
    </row>
    <row r="386" spans="1:17" x14ac:dyDescent="0.15">
      <c r="A386" s="21"/>
      <c r="B386" s="20"/>
      <c r="C386" s="20"/>
      <c r="D386" s="20"/>
      <c r="E386" s="20"/>
      <c r="F386" s="21"/>
      <c r="G386" s="22"/>
      <c r="H386" s="11"/>
      <c r="I386" s="15"/>
      <c r="J386" s="15"/>
      <c r="K386" s="14"/>
      <c r="L386" s="22"/>
      <c r="M386" s="32" t="str">
        <f t="shared" si="9"/>
        <v/>
      </c>
      <c r="N386" s="16" t="str">
        <f t="shared" si="10"/>
        <v/>
      </c>
      <c r="O386" s="17" t="str">
        <f>IF(J386="","",M386/L386)</f>
        <v/>
      </c>
      <c r="P386" s="18" t="str">
        <f>IF(O386="","",(O386/(N386)*365))</f>
        <v/>
      </c>
      <c r="Q386" s="19"/>
    </row>
    <row r="387" spans="1:17" x14ac:dyDescent="0.15">
      <c r="A387" s="23"/>
      <c r="B387" s="3"/>
      <c r="C387" s="3"/>
      <c r="D387" s="3"/>
      <c r="E387" s="3"/>
      <c r="F387" s="23"/>
      <c r="G387" s="24"/>
      <c r="H387" s="1"/>
      <c r="I387" s="6"/>
      <c r="J387" s="6"/>
      <c r="K387" s="5"/>
      <c r="L387" s="24"/>
      <c r="M387" s="31" t="str">
        <f t="shared" si="9"/>
        <v/>
      </c>
      <c r="N387" s="7" t="str">
        <f t="shared" si="10"/>
        <v/>
      </c>
      <c r="O387" s="8" t="str">
        <f>IF(J387="","",M387/L387)</f>
        <v/>
      </c>
      <c r="P387" s="9" t="str">
        <f>IF(O387="","",(O387/(N387)*365))</f>
        <v/>
      </c>
      <c r="Q387" s="10"/>
    </row>
    <row r="388" spans="1:17" x14ac:dyDescent="0.15">
      <c r="A388" s="21"/>
      <c r="B388" s="20"/>
      <c r="C388" s="20"/>
      <c r="D388" s="20"/>
      <c r="E388" s="20"/>
      <c r="F388" s="21"/>
      <c r="G388" s="22"/>
      <c r="H388" s="11"/>
      <c r="I388" s="15"/>
      <c r="J388" s="15"/>
      <c r="K388" s="14"/>
      <c r="L388" s="22"/>
      <c r="M388" s="32" t="str">
        <f t="shared" si="9"/>
        <v/>
      </c>
      <c r="N388" s="16" t="str">
        <f t="shared" si="10"/>
        <v/>
      </c>
      <c r="O388" s="17" t="str">
        <f>IF(J388="","",M388/L388)</f>
        <v/>
      </c>
      <c r="P388" s="18" t="str">
        <f>IF(O388="","",(O388/(N388)*365))</f>
        <v/>
      </c>
      <c r="Q388" s="19"/>
    </row>
    <row r="389" spans="1:17" x14ac:dyDescent="0.15">
      <c r="A389" s="23"/>
      <c r="B389" s="3"/>
      <c r="C389" s="3"/>
      <c r="D389" s="3"/>
      <c r="E389" s="3"/>
      <c r="F389" s="23"/>
      <c r="G389" s="24"/>
      <c r="H389" s="1"/>
      <c r="I389" s="6"/>
      <c r="J389" s="6"/>
      <c r="K389" s="5"/>
      <c r="L389" s="24"/>
      <c r="M389" s="31" t="str">
        <f t="shared" si="9"/>
        <v/>
      </c>
      <c r="N389" s="7" t="str">
        <f t="shared" si="10"/>
        <v/>
      </c>
      <c r="O389" s="8" t="str">
        <f>IF(J389="","",M389/L389)</f>
        <v/>
      </c>
      <c r="P389" s="9" t="str">
        <f>IF(O389="","",(O389/(N389)*365))</f>
        <v/>
      </c>
      <c r="Q389" s="10"/>
    </row>
    <row r="390" spans="1:17" x14ac:dyDescent="0.15">
      <c r="A390" s="21"/>
      <c r="B390" s="20"/>
      <c r="C390" s="20"/>
      <c r="D390" s="20"/>
      <c r="E390" s="20"/>
      <c r="F390" s="21"/>
      <c r="G390" s="22"/>
      <c r="H390" s="11"/>
      <c r="I390" s="15"/>
      <c r="J390" s="15"/>
      <c r="K390" s="14"/>
      <c r="L390" s="22"/>
      <c r="M390" s="32" t="str">
        <f t="shared" si="9"/>
        <v/>
      </c>
      <c r="N390" s="16" t="str">
        <f t="shared" si="10"/>
        <v/>
      </c>
      <c r="O390" s="17" t="str">
        <f>IF(J390="","",M390/L390)</f>
        <v/>
      </c>
      <c r="P390" s="18" t="str">
        <f>IF(O390="","",(O390/(N390)*365))</f>
        <v/>
      </c>
      <c r="Q390" s="19"/>
    </row>
    <row r="391" spans="1:17" x14ac:dyDescent="0.15">
      <c r="A391" s="23"/>
      <c r="B391" s="3"/>
      <c r="C391" s="3"/>
      <c r="D391" s="3"/>
      <c r="E391" s="3"/>
      <c r="F391" s="23"/>
      <c r="G391" s="24"/>
      <c r="H391" s="1"/>
      <c r="I391" s="6"/>
      <c r="J391" s="6"/>
      <c r="K391" s="5"/>
      <c r="L391" s="24"/>
      <c r="M391" s="31" t="str">
        <f t="shared" si="9"/>
        <v/>
      </c>
      <c r="N391" s="7" t="str">
        <f t="shared" si="10"/>
        <v/>
      </c>
      <c r="O391" s="8" t="str">
        <f>IF(J391="","",M391/L391)</f>
        <v/>
      </c>
      <c r="P391" s="9" t="str">
        <f>IF(O391="","",(O391/(N391)*365))</f>
        <v/>
      </c>
      <c r="Q391" s="10"/>
    </row>
    <row r="392" spans="1:17" x14ac:dyDescent="0.15">
      <c r="A392" s="21"/>
      <c r="B392" s="20"/>
      <c r="C392" s="20"/>
      <c r="D392" s="20"/>
      <c r="E392" s="20"/>
      <c r="F392" s="21"/>
      <c r="G392" s="22"/>
      <c r="H392" s="11"/>
      <c r="I392" s="15"/>
      <c r="J392" s="15"/>
      <c r="K392" s="14"/>
      <c r="L392" s="22"/>
      <c r="M392" s="32" t="str">
        <f t="shared" si="9"/>
        <v/>
      </c>
      <c r="N392" s="16" t="str">
        <f t="shared" si="10"/>
        <v/>
      </c>
      <c r="O392" s="17" t="str">
        <f>IF(J392="","",M392/L392)</f>
        <v/>
      </c>
      <c r="P392" s="18" t="str">
        <f>IF(O392="","",(O392/(N392)*365))</f>
        <v/>
      </c>
      <c r="Q392" s="19"/>
    </row>
    <row r="393" spans="1:17" x14ac:dyDescent="0.15">
      <c r="A393" s="23"/>
      <c r="B393" s="3"/>
      <c r="C393" s="3"/>
      <c r="D393" s="3"/>
      <c r="E393" s="3"/>
      <c r="F393" s="23"/>
      <c r="G393" s="24"/>
      <c r="H393" s="1"/>
      <c r="I393" s="6"/>
      <c r="J393" s="6"/>
      <c r="K393" s="5"/>
      <c r="L393" s="24"/>
      <c r="M393" s="31" t="str">
        <f t="shared" si="9"/>
        <v/>
      </c>
      <c r="N393" s="7" t="str">
        <f t="shared" si="10"/>
        <v/>
      </c>
      <c r="O393" s="8" t="str">
        <f>IF(J393="","",M393/L393)</f>
        <v/>
      </c>
      <c r="P393" s="9" t="str">
        <f>IF(O393="","",(O393/(N393)*365))</f>
        <v/>
      </c>
      <c r="Q393" s="10"/>
    </row>
    <row r="394" spans="1:17" x14ac:dyDescent="0.15">
      <c r="A394" s="21"/>
      <c r="B394" s="20"/>
      <c r="C394" s="20"/>
      <c r="D394" s="20"/>
      <c r="E394" s="20"/>
      <c r="F394" s="21"/>
      <c r="G394" s="22"/>
      <c r="H394" s="11"/>
      <c r="I394" s="15"/>
      <c r="J394" s="15"/>
      <c r="K394" s="14"/>
      <c r="L394" s="22"/>
      <c r="M394" s="32" t="str">
        <f t="shared" si="9"/>
        <v/>
      </c>
      <c r="N394" s="16" t="str">
        <f t="shared" si="10"/>
        <v/>
      </c>
      <c r="O394" s="17" t="str">
        <f>IF(J394="","",M394/L394)</f>
        <v/>
      </c>
      <c r="P394" s="18" t="str">
        <f>IF(O394="","",(O394/(N394)*365))</f>
        <v/>
      </c>
      <c r="Q394" s="19"/>
    </row>
    <row r="395" spans="1:17" x14ac:dyDescent="0.15">
      <c r="A395" s="23"/>
      <c r="B395" s="3"/>
      <c r="C395" s="3"/>
      <c r="D395" s="3"/>
      <c r="E395" s="3"/>
      <c r="F395" s="23"/>
      <c r="G395" s="24"/>
      <c r="H395" s="1"/>
      <c r="I395" s="6"/>
      <c r="J395" s="6"/>
      <c r="K395" s="5"/>
      <c r="L395" s="24"/>
      <c r="M395" s="31" t="str">
        <f t="shared" si="9"/>
        <v/>
      </c>
      <c r="N395" s="7" t="str">
        <f t="shared" si="10"/>
        <v/>
      </c>
      <c r="O395" s="8" t="str">
        <f>IF(J395="","",M395/L395)</f>
        <v/>
      </c>
      <c r="P395" s="9" t="str">
        <f>IF(O395="","",(O395/(N395)*365))</f>
        <v/>
      </c>
      <c r="Q395" s="10"/>
    </row>
    <row r="396" spans="1:17" x14ac:dyDescent="0.15">
      <c r="A396" s="21"/>
      <c r="B396" s="20"/>
      <c r="C396" s="20"/>
      <c r="D396" s="20"/>
      <c r="E396" s="20"/>
      <c r="F396" s="21"/>
      <c r="G396" s="22"/>
      <c r="H396" s="11"/>
      <c r="I396" s="15"/>
      <c r="J396" s="15"/>
      <c r="K396" s="14"/>
      <c r="L396" s="22"/>
      <c r="M396" s="32" t="str">
        <f t="shared" si="9"/>
        <v/>
      </c>
      <c r="N396" s="16" t="str">
        <f t="shared" si="10"/>
        <v/>
      </c>
      <c r="O396" s="17" t="str">
        <f>IF(J396="","",M396/L396)</f>
        <v/>
      </c>
      <c r="P396" s="18" t="str">
        <f>IF(O396="","",(O396/(N396)*365))</f>
        <v/>
      </c>
      <c r="Q396" s="19"/>
    </row>
    <row r="397" spans="1:17" x14ac:dyDescent="0.15">
      <c r="A397" s="23"/>
      <c r="B397" s="3"/>
      <c r="C397" s="3"/>
      <c r="D397" s="3"/>
      <c r="E397" s="3"/>
      <c r="F397" s="23"/>
      <c r="G397" s="24"/>
      <c r="H397" s="1"/>
      <c r="I397" s="6"/>
      <c r="J397" s="6"/>
      <c r="K397" s="5"/>
      <c r="L397" s="24"/>
      <c r="M397" s="31" t="str">
        <f t="shared" si="9"/>
        <v/>
      </c>
      <c r="N397" s="7" t="str">
        <f t="shared" si="10"/>
        <v/>
      </c>
      <c r="O397" s="8" t="str">
        <f>IF(J397="","",M397/L397)</f>
        <v/>
      </c>
      <c r="P397" s="9" t="str">
        <f>IF(O397="","",(O397/(N397)*365))</f>
        <v/>
      </c>
      <c r="Q397" s="10"/>
    </row>
    <row r="398" spans="1:17" x14ac:dyDescent="0.15">
      <c r="A398" s="21"/>
      <c r="B398" s="20"/>
      <c r="C398" s="20"/>
      <c r="D398" s="20"/>
      <c r="E398" s="20"/>
      <c r="F398" s="21"/>
      <c r="G398" s="22"/>
      <c r="H398" s="11"/>
      <c r="I398" s="15"/>
      <c r="J398" s="15"/>
      <c r="K398" s="14"/>
      <c r="L398" s="22"/>
      <c r="M398" s="32" t="str">
        <f t="shared" si="9"/>
        <v/>
      </c>
      <c r="N398" s="16" t="str">
        <f t="shared" si="10"/>
        <v/>
      </c>
      <c r="O398" s="17" t="str">
        <f>IF(J398="","",M398/L398)</f>
        <v/>
      </c>
      <c r="P398" s="18" t="str">
        <f>IF(O398="","",(O398/(N398)*365))</f>
        <v/>
      </c>
      <c r="Q398" s="19"/>
    </row>
    <row r="399" spans="1:17" x14ac:dyDescent="0.15">
      <c r="A399" s="23"/>
      <c r="B399" s="3"/>
      <c r="C399" s="3"/>
      <c r="D399" s="3"/>
      <c r="E399" s="3"/>
      <c r="F399" s="23"/>
      <c r="G399" s="24"/>
      <c r="H399" s="1"/>
      <c r="I399" s="6"/>
      <c r="J399" s="6"/>
      <c r="K399" s="5"/>
      <c r="L399" s="24"/>
      <c r="M399" s="31" t="str">
        <f t="shared" si="9"/>
        <v/>
      </c>
      <c r="N399" s="7" t="str">
        <f t="shared" si="10"/>
        <v/>
      </c>
      <c r="O399" s="8" t="str">
        <f>IF(J399="","",M399/L399)</f>
        <v/>
      </c>
      <c r="P399" s="9" t="str">
        <f>IF(O399="","",(O399/(N399)*365))</f>
        <v/>
      </c>
      <c r="Q399" s="10"/>
    </row>
    <row r="400" spans="1:17" x14ac:dyDescent="0.15">
      <c r="A400" s="21"/>
      <c r="B400" s="20"/>
      <c r="C400" s="20"/>
      <c r="D400" s="20"/>
      <c r="E400" s="20"/>
      <c r="F400" s="21"/>
      <c r="G400" s="22"/>
      <c r="H400" s="11"/>
      <c r="I400" s="15"/>
      <c r="J400" s="15"/>
      <c r="K400" s="14"/>
      <c r="L400" s="22"/>
      <c r="M400" s="32" t="str">
        <f t="shared" si="9"/>
        <v/>
      </c>
      <c r="N400" s="16" t="str">
        <f t="shared" si="10"/>
        <v/>
      </c>
      <c r="O400" s="17" t="str">
        <f>IF(J400="","",M400/L400)</f>
        <v/>
      </c>
      <c r="P400" s="18" t="str">
        <f>IF(O400="","",(O400/(N400)*365))</f>
        <v/>
      </c>
      <c r="Q400" s="19"/>
    </row>
    <row r="401" spans="1:17" x14ac:dyDescent="0.15">
      <c r="A401" s="23"/>
      <c r="B401" s="3"/>
      <c r="C401" s="3"/>
      <c r="D401" s="3"/>
      <c r="E401" s="3"/>
      <c r="F401" s="23"/>
      <c r="G401" s="24"/>
      <c r="H401" s="1"/>
      <c r="I401" s="6"/>
      <c r="J401" s="6"/>
      <c r="K401" s="5"/>
      <c r="L401" s="24"/>
      <c r="M401" s="31" t="str">
        <f t="shared" si="9"/>
        <v/>
      </c>
      <c r="N401" s="7" t="str">
        <f t="shared" si="10"/>
        <v/>
      </c>
      <c r="O401" s="8" t="str">
        <f>IF(J401="","",M401/L401)</f>
        <v/>
      </c>
      <c r="P401" s="9" t="str">
        <f>IF(O401="","",(O401/(N401)*365))</f>
        <v/>
      </c>
      <c r="Q401" s="10"/>
    </row>
    <row r="402" spans="1:17" x14ac:dyDescent="0.15">
      <c r="A402" s="21"/>
      <c r="B402" s="20"/>
      <c r="C402" s="20"/>
      <c r="D402" s="20"/>
      <c r="E402" s="20"/>
      <c r="F402" s="21"/>
      <c r="G402" s="22"/>
      <c r="H402" s="11"/>
      <c r="I402" s="15"/>
      <c r="J402" s="15"/>
      <c r="K402" s="14"/>
      <c r="L402" s="22"/>
      <c r="M402" s="32" t="str">
        <f t="shared" si="9"/>
        <v/>
      </c>
      <c r="N402" s="16" t="str">
        <f t="shared" si="10"/>
        <v/>
      </c>
      <c r="O402" s="17" t="str">
        <f>IF(J402="","",M402/L402)</f>
        <v/>
      </c>
      <c r="P402" s="18" t="str">
        <f>IF(O402="","",(O402/(N402)*365))</f>
        <v/>
      </c>
      <c r="Q402" s="19"/>
    </row>
    <row r="403" spans="1:17" x14ac:dyDescent="0.15">
      <c r="A403" s="23"/>
      <c r="B403" s="3"/>
      <c r="C403" s="3"/>
      <c r="D403" s="3"/>
      <c r="E403" s="3"/>
      <c r="F403" s="23"/>
      <c r="G403" s="24"/>
      <c r="H403" s="1"/>
      <c r="I403" s="6"/>
      <c r="J403" s="6"/>
      <c r="K403" s="5"/>
      <c r="L403" s="24"/>
      <c r="M403" s="31" t="str">
        <f t="shared" si="9"/>
        <v/>
      </c>
      <c r="N403" s="7" t="str">
        <f t="shared" si="10"/>
        <v/>
      </c>
      <c r="O403" s="8" t="str">
        <f>IF(J403="","",M403/L403)</f>
        <v/>
      </c>
      <c r="P403" s="9" t="str">
        <f>IF(O403="","",(O403/(N403)*365))</f>
        <v/>
      </c>
      <c r="Q403" s="10"/>
    </row>
    <row r="404" spans="1:17" x14ac:dyDescent="0.15">
      <c r="A404" s="21"/>
      <c r="B404" s="20"/>
      <c r="C404" s="20"/>
      <c r="D404" s="20"/>
      <c r="E404" s="20"/>
      <c r="F404" s="21"/>
      <c r="G404" s="22"/>
      <c r="H404" s="11"/>
      <c r="I404" s="15"/>
      <c r="J404" s="15"/>
      <c r="K404" s="14"/>
      <c r="L404" s="22"/>
      <c r="M404" s="32" t="str">
        <f t="shared" si="9"/>
        <v/>
      </c>
      <c r="N404" s="16" t="str">
        <f t="shared" si="10"/>
        <v/>
      </c>
      <c r="O404" s="17" t="str">
        <f>IF(J404="","",M404/L404)</f>
        <v/>
      </c>
      <c r="P404" s="18" t="str">
        <f>IF(O404="","",(O404/(N404)*365))</f>
        <v/>
      </c>
      <c r="Q404" s="19"/>
    </row>
    <row r="405" spans="1:17" x14ac:dyDescent="0.15">
      <c r="A405" s="23"/>
      <c r="B405" s="3"/>
      <c r="C405" s="3"/>
      <c r="D405" s="3"/>
      <c r="E405" s="3"/>
      <c r="F405" s="23"/>
      <c r="G405" s="24"/>
      <c r="H405" s="1"/>
      <c r="I405" s="6"/>
      <c r="J405" s="6"/>
      <c r="K405" s="5"/>
      <c r="L405" s="24"/>
      <c r="M405" s="31" t="str">
        <f t="shared" si="9"/>
        <v/>
      </c>
      <c r="N405" s="7" t="str">
        <f t="shared" si="10"/>
        <v/>
      </c>
      <c r="O405" s="8" t="str">
        <f>IF(J405="","",M405/L405)</f>
        <v/>
      </c>
      <c r="P405" s="9" t="str">
        <f>IF(O405="","",(O405/(N405)*365))</f>
        <v/>
      </c>
      <c r="Q405" s="10"/>
    </row>
    <row r="406" spans="1:17" x14ac:dyDescent="0.15">
      <c r="A406" s="21"/>
      <c r="B406" s="20"/>
      <c r="C406" s="20"/>
      <c r="D406" s="20"/>
      <c r="E406" s="20"/>
      <c r="F406" s="21"/>
      <c r="G406" s="22"/>
      <c r="H406" s="11"/>
      <c r="I406" s="15"/>
      <c r="J406" s="15"/>
      <c r="K406" s="14"/>
      <c r="L406" s="22"/>
      <c r="M406" s="32" t="str">
        <f t="shared" si="9"/>
        <v/>
      </c>
      <c r="N406" s="16" t="str">
        <f t="shared" si="10"/>
        <v/>
      </c>
      <c r="O406" s="17" t="str">
        <f>IF(J406="","",M406/L406)</f>
        <v/>
      </c>
      <c r="P406" s="18" t="str">
        <f>IF(O406="","",(O406/(N406)*365))</f>
        <v/>
      </c>
      <c r="Q406" s="19"/>
    </row>
    <row r="407" spans="1:17" x14ac:dyDescent="0.15">
      <c r="A407" s="23"/>
      <c r="B407" s="3"/>
      <c r="C407" s="3"/>
      <c r="D407" s="3"/>
      <c r="E407" s="3"/>
      <c r="F407" s="23"/>
      <c r="G407" s="24"/>
      <c r="H407" s="1"/>
      <c r="I407" s="6"/>
      <c r="J407" s="6"/>
      <c r="K407" s="5"/>
      <c r="L407" s="24"/>
      <c r="M407" s="31" t="str">
        <f t="shared" si="9"/>
        <v/>
      </c>
      <c r="N407" s="7" t="str">
        <f t="shared" si="10"/>
        <v/>
      </c>
      <c r="O407" s="8" t="str">
        <f>IF(J407="","",M407/L407)</f>
        <v/>
      </c>
      <c r="P407" s="9" t="str">
        <f>IF(O407="","",(O407/(N407)*365))</f>
        <v/>
      </c>
      <c r="Q407" s="10"/>
    </row>
    <row r="408" spans="1:17" x14ac:dyDescent="0.15">
      <c r="A408" s="21"/>
      <c r="B408" s="20"/>
      <c r="C408" s="20"/>
      <c r="D408" s="20"/>
      <c r="E408" s="20"/>
      <c r="F408" s="21"/>
      <c r="G408" s="22"/>
      <c r="H408" s="11"/>
      <c r="I408" s="15"/>
      <c r="J408" s="15"/>
      <c r="K408" s="14"/>
      <c r="L408" s="22"/>
      <c r="M408" s="32" t="str">
        <f t="shared" si="9"/>
        <v/>
      </c>
      <c r="N408" s="16" t="str">
        <f t="shared" si="10"/>
        <v/>
      </c>
      <c r="O408" s="17" t="str">
        <f>IF(J408="","",M408/L408)</f>
        <v/>
      </c>
      <c r="P408" s="18" t="str">
        <f>IF(O408="","",(O408/(N408)*365))</f>
        <v/>
      </c>
      <c r="Q408" s="19"/>
    </row>
    <row r="409" spans="1:17" x14ac:dyDescent="0.15">
      <c r="A409" s="23"/>
      <c r="B409" s="3"/>
      <c r="C409" s="3"/>
      <c r="D409" s="3"/>
      <c r="E409" s="3"/>
      <c r="F409" s="23"/>
      <c r="G409" s="24"/>
      <c r="H409" s="1"/>
      <c r="I409" s="6"/>
      <c r="J409" s="6"/>
      <c r="K409" s="5"/>
      <c r="L409" s="24"/>
      <c r="M409" s="31" t="str">
        <f t="shared" si="9"/>
        <v/>
      </c>
      <c r="N409" s="7" t="str">
        <f t="shared" si="10"/>
        <v/>
      </c>
      <c r="O409" s="8" t="str">
        <f>IF(J409="","",M409/L409)</f>
        <v/>
      </c>
      <c r="P409" s="9" t="str">
        <f>IF(O409="","",(O409/(N409)*365))</f>
        <v/>
      </c>
      <c r="Q409" s="10"/>
    </row>
    <row r="410" spans="1:17" x14ac:dyDescent="0.15">
      <c r="A410" s="21"/>
      <c r="B410" s="20"/>
      <c r="C410" s="20"/>
      <c r="D410" s="20"/>
      <c r="E410" s="20"/>
      <c r="F410" s="21"/>
      <c r="G410" s="22"/>
      <c r="H410" s="11"/>
      <c r="I410" s="15"/>
      <c r="J410" s="15"/>
      <c r="K410" s="14"/>
      <c r="L410" s="22"/>
      <c r="M410" s="32" t="str">
        <f t="shared" si="9"/>
        <v/>
      </c>
      <c r="N410" s="16" t="str">
        <f t="shared" si="10"/>
        <v/>
      </c>
      <c r="O410" s="17" t="str">
        <f>IF(J410="","",M410/L410)</f>
        <v/>
      </c>
      <c r="P410" s="18" t="str">
        <f>IF(O410="","",(O410/(N410)*365))</f>
        <v/>
      </c>
      <c r="Q410" s="19"/>
    </row>
    <row r="411" spans="1:17" x14ac:dyDescent="0.15">
      <c r="A411" s="23"/>
      <c r="B411" s="3"/>
      <c r="C411" s="3"/>
      <c r="D411" s="3"/>
      <c r="E411" s="3"/>
      <c r="F411" s="23"/>
      <c r="G411" s="24"/>
      <c r="H411" s="1"/>
      <c r="I411" s="6"/>
      <c r="J411" s="6"/>
      <c r="K411" s="5"/>
      <c r="L411" s="24"/>
      <c r="M411" s="31" t="str">
        <f t="shared" si="9"/>
        <v/>
      </c>
      <c r="N411" s="7" t="str">
        <f t="shared" si="10"/>
        <v/>
      </c>
      <c r="O411" s="8" t="str">
        <f>IF(J411="","",M411/L411)</f>
        <v/>
      </c>
      <c r="P411" s="9" t="str">
        <f>IF(O411="","",(O411/(N411)*365))</f>
        <v/>
      </c>
      <c r="Q411" s="10"/>
    </row>
    <row r="412" spans="1:17" x14ac:dyDescent="0.15">
      <c r="A412" s="21"/>
      <c r="B412" s="20"/>
      <c r="C412" s="20"/>
      <c r="D412" s="20"/>
      <c r="E412" s="20"/>
      <c r="F412" s="21"/>
      <c r="G412" s="22"/>
      <c r="H412" s="11"/>
      <c r="I412" s="15"/>
      <c r="J412" s="15"/>
      <c r="K412" s="14"/>
      <c r="L412" s="22"/>
      <c r="M412" s="32" t="str">
        <f t="shared" si="9"/>
        <v/>
      </c>
      <c r="N412" s="16" t="str">
        <f t="shared" si="10"/>
        <v/>
      </c>
      <c r="O412" s="17" t="str">
        <f>IF(J412="","",M412/L412)</f>
        <v/>
      </c>
      <c r="P412" s="18" t="str">
        <f>IF(O412="","",(O412/(N412)*365))</f>
        <v/>
      </c>
      <c r="Q412" s="19"/>
    </row>
    <row r="413" spans="1:17" x14ac:dyDescent="0.15">
      <c r="A413" s="23"/>
      <c r="B413" s="3"/>
      <c r="C413" s="3"/>
      <c r="D413" s="3"/>
      <c r="E413" s="3"/>
      <c r="F413" s="23"/>
      <c r="G413" s="24"/>
      <c r="H413" s="1"/>
      <c r="I413" s="6"/>
      <c r="J413" s="6"/>
      <c r="K413" s="5"/>
      <c r="L413" s="24"/>
      <c r="M413" s="31" t="str">
        <f t="shared" si="9"/>
        <v/>
      </c>
      <c r="N413" s="7" t="str">
        <f t="shared" si="10"/>
        <v/>
      </c>
      <c r="O413" s="8" t="str">
        <f>IF(J413="","",M413/L413)</f>
        <v/>
      </c>
      <c r="P413" s="9" t="str">
        <f>IF(O413="","",(O413/(N413)*365))</f>
        <v/>
      </c>
      <c r="Q413" s="10"/>
    </row>
    <row r="414" spans="1:17" x14ac:dyDescent="0.15">
      <c r="A414" s="21"/>
      <c r="B414" s="20"/>
      <c r="C414" s="20"/>
      <c r="D414" s="20"/>
      <c r="E414" s="20"/>
      <c r="F414" s="21"/>
      <c r="G414" s="22"/>
      <c r="H414" s="11"/>
      <c r="I414" s="15"/>
      <c r="J414" s="15"/>
      <c r="K414" s="14"/>
      <c r="L414" s="22"/>
      <c r="M414" s="32" t="str">
        <f t="shared" si="9"/>
        <v/>
      </c>
      <c r="N414" s="16" t="str">
        <f t="shared" si="10"/>
        <v/>
      </c>
      <c r="O414" s="17" t="str">
        <f>IF(J414="","",M414/L414)</f>
        <v/>
      </c>
      <c r="P414" s="18" t="str">
        <f>IF(O414="","",(O414/(N414)*365))</f>
        <v/>
      </c>
      <c r="Q414" s="19"/>
    </row>
    <row r="415" spans="1:17" x14ac:dyDescent="0.15">
      <c r="A415" s="23"/>
      <c r="B415" s="3"/>
      <c r="C415" s="3"/>
      <c r="D415" s="3"/>
      <c r="E415" s="3"/>
      <c r="F415" s="23"/>
      <c r="G415" s="24"/>
      <c r="H415" s="1"/>
      <c r="I415" s="6"/>
      <c r="J415" s="6"/>
      <c r="K415" s="5"/>
      <c r="L415" s="24"/>
      <c r="M415" s="31" t="str">
        <f t="shared" si="9"/>
        <v/>
      </c>
      <c r="N415" s="7" t="str">
        <f t="shared" si="10"/>
        <v/>
      </c>
      <c r="O415" s="8" t="str">
        <f>IF(J415="","",M415/L415)</f>
        <v/>
      </c>
      <c r="P415" s="9" t="str">
        <f>IF(O415="","",(O415/(N415)*365))</f>
        <v/>
      </c>
      <c r="Q415" s="10"/>
    </row>
    <row r="416" spans="1:17" x14ac:dyDescent="0.15">
      <c r="A416" s="21"/>
      <c r="B416" s="20"/>
      <c r="C416" s="20"/>
      <c r="D416" s="20"/>
      <c r="E416" s="20"/>
      <c r="F416" s="21"/>
      <c r="G416" s="22"/>
      <c r="H416" s="11"/>
      <c r="I416" s="15"/>
      <c r="J416" s="15"/>
      <c r="K416" s="14"/>
      <c r="L416" s="22"/>
      <c r="M416" s="32" t="str">
        <f t="shared" si="9"/>
        <v/>
      </c>
      <c r="N416" s="16" t="str">
        <f t="shared" si="10"/>
        <v/>
      </c>
      <c r="O416" s="17" t="str">
        <f>IF(J416="","",M416/L416)</f>
        <v/>
      </c>
      <c r="P416" s="18" t="str">
        <f>IF(O416="","",(O416/(N416)*365))</f>
        <v/>
      </c>
      <c r="Q416" s="19"/>
    </row>
    <row r="417" spans="1:17" x14ac:dyDescent="0.15">
      <c r="A417" s="23"/>
      <c r="B417" s="3"/>
      <c r="C417" s="3"/>
      <c r="D417" s="3"/>
      <c r="E417" s="3"/>
      <c r="F417" s="23"/>
      <c r="G417" s="24"/>
      <c r="H417" s="1"/>
      <c r="I417" s="6"/>
      <c r="J417" s="6"/>
      <c r="K417" s="5"/>
      <c r="L417" s="24"/>
      <c r="M417" s="31" t="str">
        <f t="shared" si="9"/>
        <v/>
      </c>
      <c r="N417" s="7" t="str">
        <f t="shared" si="10"/>
        <v/>
      </c>
      <c r="O417" s="8" t="str">
        <f>IF(J417="","",M417/L417)</f>
        <v/>
      </c>
      <c r="P417" s="9" t="str">
        <f>IF(O417="","",(O417/(N417)*365))</f>
        <v/>
      </c>
      <c r="Q417" s="10"/>
    </row>
    <row r="418" spans="1:17" x14ac:dyDescent="0.15">
      <c r="A418" s="21"/>
      <c r="B418" s="20"/>
      <c r="C418" s="20"/>
      <c r="D418" s="20"/>
      <c r="E418" s="20"/>
      <c r="F418" s="21"/>
      <c r="G418" s="22"/>
      <c r="H418" s="11"/>
      <c r="I418" s="15"/>
      <c r="J418" s="15"/>
      <c r="K418" s="14"/>
      <c r="L418" s="22"/>
      <c r="M418" s="32" t="str">
        <f t="shared" si="9"/>
        <v/>
      </c>
      <c r="N418" s="16" t="str">
        <f t="shared" si="10"/>
        <v/>
      </c>
      <c r="O418" s="17" t="str">
        <f>IF(J418="","",M418/L418)</f>
        <v/>
      </c>
      <c r="P418" s="18" t="str">
        <f>IF(O418="","",(O418/(N418)*365))</f>
        <v/>
      </c>
      <c r="Q418" s="19"/>
    </row>
    <row r="419" spans="1:17" x14ac:dyDescent="0.15">
      <c r="A419" s="23"/>
      <c r="B419" s="3"/>
      <c r="C419" s="3"/>
      <c r="D419" s="3"/>
      <c r="E419" s="3"/>
      <c r="F419" s="23"/>
      <c r="G419" s="24"/>
      <c r="H419" s="1"/>
      <c r="I419" s="6"/>
      <c r="J419" s="6"/>
      <c r="K419" s="5"/>
      <c r="L419" s="24"/>
      <c r="M419" s="31" t="str">
        <f t="shared" si="9"/>
        <v/>
      </c>
      <c r="N419" s="7" t="str">
        <f t="shared" si="10"/>
        <v/>
      </c>
      <c r="O419" s="8" t="str">
        <f>IF(J419="","",M419/L419)</f>
        <v/>
      </c>
      <c r="P419" s="9" t="str">
        <f>IF(O419="","",(O419/(N419)*365))</f>
        <v/>
      </c>
      <c r="Q419" s="10"/>
    </row>
    <row r="420" spans="1:17" x14ac:dyDescent="0.15">
      <c r="A420" s="21"/>
      <c r="B420" s="20"/>
      <c r="C420" s="20"/>
      <c r="D420" s="20"/>
      <c r="E420" s="20"/>
      <c r="F420" s="21"/>
      <c r="G420" s="22"/>
      <c r="H420" s="11"/>
      <c r="I420" s="15"/>
      <c r="J420" s="15"/>
      <c r="K420" s="14"/>
      <c r="L420" s="22"/>
      <c r="M420" s="32" t="str">
        <f t="shared" si="9"/>
        <v/>
      </c>
      <c r="N420" s="16" t="str">
        <f t="shared" si="10"/>
        <v/>
      </c>
      <c r="O420" s="17" t="str">
        <f>IF(J420="","",M420/L420)</f>
        <v/>
      </c>
      <c r="P420" s="18" t="str">
        <f>IF(O420="","",(O420/(N420)*365))</f>
        <v/>
      </c>
      <c r="Q420" s="19"/>
    </row>
    <row r="421" spans="1:17" x14ac:dyDescent="0.15">
      <c r="A421" s="23"/>
      <c r="B421" s="3"/>
      <c r="C421" s="3"/>
      <c r="D421" s="3"/>
      <c r="E421" s="3"/>
      <c r="F421" s="23"/>
      <c r="G421" s="24"/>
      <c r="H421" s="1"/>
      <c r="I421" s="6"/>
      <c r="J421" s="6"/>
      <c r="K421" s="5"/>
      <c r="L421" s="24"/>
      <c r="M421" s="31" t="str">
        <f t="shared" si="9"/>
        <v/>
      </c>
      <c r="N421" s="7" t="str">
        <f t="shared" si="10"/>
        <v/>
      </c>
      <c r="O421" s="8" t="str">
        <f>IF(J421="","",M421/L421)</f>
        <v/>
      </c>
      <c r="P421" s="9" t="str">
        <f>IF(O421="","",(O421/(N421)*365))</f>
        <v/>
      </c>
      <c r="Q421" s="10"/>
    </row>
    <row r="422" spans="1:17" x14ac:dyDescent="0.15">
      <c r="A422" s="21"/>
      <c r="B422" s="20"/>
      <c r="C422" s="20"/>
      <c r="D422" s="20"/>
      <c r="E422" s="20"/>
      <c r="F422" s="21"/>
      <c r="G422" s="22"/>
      <c r="H422" s="11"/>
      <c r="I422" s="15"/>
      <c r="J422" s="15"/>
      <c r="K422" s="14"/>
      <c r="L422" s="22"/>
      <c r="M422" s="32" t="str">
        <f t="shared" si="9"/>
        <v/>
      </c>
      <c r="N422" s="16" t="str">
        <f t="shared" si="10"/>
        <v/>
      </c>
      <c r="O422" s="17" t="str">
        <f>IF(J422="","",M422/L422)</f>
        <v/>
      </c>
      <c r="P422" s="18" t="str">
        <f>IF(O422="","",(O422/(N422)*365))</f>
        <v/>
      </c>
      <c r="Q422" s="19"/>
    </row>
    <row r="423" spans="1:17" x14ac:dyDescent="0.15">
      <c r="A423" s="23"/>
      <c r="B423" s="3"/>
      <c r="C423" s="3"/>
      <c r="D423" s="3"/>
      <c r="E423" s="3"/>
      <c r="F423" s="23"/>
      <c r="G423" s="24"/>
      <c r="H423" s="1"/>
      <c r="I423" s="6"/>
      <c r="J423" s="6"/>
      <c r="K423" s="5"/>
      <c r="L423" s="24"/>
      <c r="M423" s="31" t="str">
        <f t="shared" si="9"/>
        <v/>
      </c>
      <c r="N423" s="7" t="str">
        <f t="shared" si="10"/>
        <v/>
      </c>
      <c r="O423" s="8" t="str">
        <f>IF(J423="","",M423/L423)</f>
        <v/>
      </c>
      <c r="P423" s="9" t="str">
        <f>IF(O423="","",(O423/(N423)*365))</f>
        <v/>
      </c>
      <c r="Q423" s="10"/>
    </row>
    <row r="424" spans="1:17" x14ac:dyDescent="0.15">
      <c r="A424" s="21"/>
      <c r="B424" s="20"/>
      <c r="C424" s="20"/>
      <c r="D424" s="20"/>
      <c r="E424" s="20"/>
      <c r="F424" s="21"/>
      <c r="G424" s="22"/>
      <c r="H424" s="11"/>
      <c r="I424" s="15"/>
      <c r="J424" s="15"/>
      <c r="K424" s="14"/>
      <c r="L424" s="22"/>
      <c r="M424" s="32" t="str">
        <f t="shared" si="9"/>
        <v/>
      </c>
      <c r="N424" s="16" t="str">
        <f t="shared" si="10"/>
        <v/>
      </c>
      <c r="O424" s="17" t="str">
        <f>IF(J424="","",M424/L424)</f>
        <v/>
      </c>
      <c r="P424" s="18" t="str">
        <f>IF(O424="","",(O424/(N424)*365))</f>
        <v/>
      </c>
      <c r="Q424" s="19"/>
    </row>
    <row r="425" spans="1:17" x14ac:dyDescent="0.15">
      <c r="A425" s="23"/>
      <c r="B425" s="3"/>
      <c r="C425" s="3"/>
      <c r="D425" s="3"/>
      <c r="E425" s="3"/>
      <c r="F425" s="23"/>
      <c r="G425" s="24"/>
      <c r="H425" s="1"/>
      <c r="I425" s="6"/>
      <c r="J425" s="6"/>
      <c r="K425" s="5"/>
      <c r="L425" s="24"/>
      <c r="M425" s="31" t="str">
        <f t="shared" si="9"/>
        <v/>
      </c>
      <c r="N425" s="7" t="str">
        <f t="shared" si="10"/>
        <v/>
      </c>
      <c r="O425" s="8" t="str">
        <f>IF(J425="","",M425/L425)</f>
        <v/>
      </c>
      <c r="P425" s="9" t="str">
        <f>IF(O425="","",(O425/(N425)*365))</f>
        <v/>
      </c>
      <c r="Q425" s="10"/>
    </row>
    <row r="426" spans="1:17" x14ac:dyDescent="0.15">
      <c r="A426" s="21"/>
      <c r="B426" s="20"/>
      <c r="C426" s="20"/>
      <c r="D426" s="20"/>
      <c r="E426" s="20"/>
      <c r="F426" s="21"/>
      <c r="G426" s="22"/>
      <c r="H426" s="11"/>
      <c r="I426" s="15"/>
      <c r="J426" s="15"/>
      <c r="K426" s="14"/>
      <c r="L426" s="22"/>
      <c r="M426" s="32" t="str">
        <f t="shared" si="9"/>
        <v/>
      </c>
      <c r="N426" s="16" t="str">
        <f t="shared" si="10"/>
        <v/>
      </c>
      <c r="O426" s="17" t="str">
        <f>IF(J426="","",M426/L426)</f>
        <v/>
      </c>
      <c r="P426" s="18" t="str">
        <f>IF(O426="","",(O426/(N426)*365))</f>
        <v/>
      </c>
      <c r="Q426" s="19"/>
    </row>
    <row r="427" spans="1:17" x14ac:dyDescent="0.15">
      <c r="A427" s="23"/>
      <c r="B427" s="3"/>
      <c r="C427" s="3"/>
      <c r="D427" s="3"/>
      <c r="E427" s="3"/>
      <c r="F427" s="23"/>
      <c r="G427" s="24"/>
      <c r="H427" s="1"/>
      <c r="I427" s="6"/>
      <c r="J427" s="6"/>
      <c r="K427" s="5"/>
      <c r="L427" s="24"/>
      <c r="M427" s="31" t="str">
        <f t="shared" si="9"/>
        <v/>
      </c>
      <c r="N427" s="7" t="str">
        <f t="shared" si="10"/>
        <v/>
      </c>
      <c r="O427" s="8" t="str">
        <f>IF(J427="","",M427/L427)</f>
        <v/>
      </c>
      <c r="P427" s="9" t="str">
        <f>IF(O427="","",(O427/(N427)*365))</f>
        <v/>
      </c>
      <c r="Q427" s="10"/>
    </row>
    <row r="428" spans="1:17" x14ac:dyDescent="0.15">
      <c r="A428" s="21"/>
      <c r="B428" s="20"/>
      <c r="C428" s="20"/>
      <c r="D428" s="20"/>
      <c r="E428" s="20"/>
      <c r="F428" s="21"/>
      <c r="G428" s="22"/>
      <c r="H428" s="11"/>
      <c r="I428" s="15"/>
      <c r="J428" s="15"/>
      <c r="K428" s="14"/>
      <c r="L428" s="22"/>
      <c r="M428" s="32" t="str">
        <f t="shared" si="9"/>
        <v/>
      </c>
      <c r="N428" s="16" t="str">
        <f t="shared" si="10"/>
        <v/>
      </c>
      <c r="O428" s="17" t="str">
        <f>IF(J428="","",M428/L428)</f>
        <v/>
      </c>
      <c r="P428" s="18" t="str">
        <f>IF(O428="","",(O428/(N428)*365))</f>
        <v/>
      </c>
      <c r="Q428" s="19"/>
    </row>
    <row r="429" spans="1:17" x14ac:dyDescent="0.15">
      <c r="A429" s="23"/>
      <c r="B429" s="3"/>
      <c r="C429" s="3"/>
      <c r="D429" s="3"/>
      <c r="E429" s="3"/>
      <c r="F429" s="23"/>
      <c r="G429" s="24"/>
      <c r="H429" s="1"/>
      <c r="I429" s="6"/>
      <c r="J429" s="6"/>
      <c r="K429" s="5"/>
      <c r="L429" s="24"/>
      <c r="M429" s="31" t="str">
        <f t="shared" si="9"/>
        <v/>
      </c>
      <c r="N429" s="7" t="str">
        <f t="shared" si="10"/>
        <v/>
      </c>
      <c r="O429" s="8" t="str">
        <f>IF(J429="","",M429/L429)</f>
        <v/>
      </c>
      <c r="P429" s="9" t="str">
        <f>IF(O429="","",(O429/(N429)*365))</f>
        <v/>
      </c>
      <c r="Q429" s="10"/>
    </row>
    <row r="430" spans="1:17" x14ac:dyDescent="0.15">
      <c r="A430" s="21"/>
      <c r="B430" s="20"/>
      <c r="C430" s="20"/>
      <c r="D430" s="20"/>
      <c r="E430" s="20"/>
      <c r="F430" s="21"/>
      <c r="G430" s="22"/>
      <c r="H430" s="11"/>
      <c r="I430" s="15"/>
      <c r="J430" s="15"/>
      <c r="K430" s="14"/>
      <c r="L430" s="22"/>
      <c r="M430" s="32" t="str">
        <f t="shared" si="9"/>
        <v/>
      </c>
      <c r="N430" s="16" t="str">
        <f t="shared" si="10"/>
        <v/>
      </c>
      <c r="O430" s="17" t="str">
        <f>IF(J430="","",M430/L430)</f>
        <v/>
      </c>
      <c r="P430" s="18" t="str">
        <f>IF(O430="","",(O430/(N430)*365))</f>
        <v/>
      </c>
      <c r="Q430" s="19"/>
    </row>
    <row r="431" spans="1:17" x14ac:dyDescent="0.15">
      <c r="A431" s="23"/>
      <c r="B431" s="3"/>
      <c r="C431" s="3"/>
      <c r="D431" s="3"/>
      <c r="E431" s="3"/>
      <c r="F431" s="23"/>
      <c r="G431" s="24"/>
      <c r="H431" s="1"/>
      <c r="I431" s="6"/>
      <c r="J431" s="6"/>
      <c r="K431" s="5"/>
      <c r="L431" s="24"/>
      <c r="M431" s="31" t="str">
        <f t="shared" si="9"/>
        <v/>
      </c>
      <c r="N431" s="7" t="str">
        <f t="shared" si="10"/>
        <v/>
      </c>
      <c r="O431" s="8" t="str">
        <f>IF(J431="","",M431/L431)</f>
        <v/>
      </c>
      <c r="P431" s="9" t="str">
        <f>IF(O431="","",(O431/(N431)*365))</f>
        <v/>
      </c>
      <c r="Q431" s="10"/>
    </row>
    <row r="432" spans="1:17" x14ac:dyDescent="0.15">
      <c r="A432" s="21"/>
      <c r="B432" s="20"/>
      <c r="C432" s="20"/>
      <c r="D432" s="20"/>
      <c r="E432" s="20"/>
      <c r="F432" s="21"/>
      <c r="G432" s="22"/>
      <c r="H432" s="11"/>
      <c r="I432" s="15"/>
      <c r="J432" s="15"/>
      <c r="K432" s="14"/>
      <c r="L432" s="22"/>
      <c r="M432" s="32" t="str">
        <f t="shared" si="9"/>
        <v/>
      </c>
      <c r="N432" s="16" t="str">
        <f t="shared" si="10"/>
        <v/>
      </c>
      <c r="O432" s="17" t="str">
        <f>IF(J432="","",M432/L432)</f>
        <v/>
      </c>
      <c r="P432" s="18" t="str">
        <f>IF(O432="","",(O432/(N432)*365))</f>
        <v/>
      </c>
      <c r="Q432" s="19"/>
    </row>
    <row r="433" spans="1:17" x14ac:dyDescent="0.15">
      <c r="A433" s="23"/>
      <c r="B433" s="3"/>
      <c r="C433" s="3"/>
      <c r="D433" s="3"/>
      <c r="E433" s="3"/>
      <c r="F433" s="23"/>
      <c r="G433" s="24"/>
      <c r="H433" s="1"/>
      <c r="I433" s="6"/>
      <c r="J433" s="6"/>
      <c r="K433" s="5"/>
      <c r="L433" s="24"/>
      <c r="M433" s="31" t="str">
        <f t="shared" si="9"/>
        <v/>
      </c>
      <c r="N433" s="7" t="str">
        <f t="shared" si="10"/>
        <v/>
      </c>
      <c r="O433" s="8" t="str">
        <f>IF(J433="","",M433/L433)</f>
        <v/>
      </c>
      <c r="P433" s="9" t="str">
        <f>IF(O433="","",(O433/(N433)*365))</f>
        <v/>
      </c>
      <c r="Q433" s="10"/>
    </row>
    <row r="434" spans="1:17" x14ac:dyDescent="0.15">
      <c r="A434" s="21"/>
      <c r="B434" s="20"/>
      <c r="C434" s="20"/>
      <c r="D434" s="20"/>
      <c r="E434" s="20"/>
      <c r="F434" s="21"/>
      <c r="G434" s="22"/>
      <c r="H434" s="11"/>
      <c r="I434" s="15"/>
      <c r="J434" s="15"/>
      <c r="K434" s="14"/>
      <c r="L434" s="22"/>
      <c r="M434" s="32" t="str">
        <f t="shared" si="9"/>
        <v/>
      </c>
      <c r="N434" s="16" t="str">
        <f t="shared" si="10"/>
        <v/>
      </c>
      <c r="O434" s="17" t="str">
        <f>IF(J434="","",M434/L434)</f>
        <v/>
      </c>
      <c r="P434" s="18" t="str">
        <f>IF(O434="","",(O434/(N434)*365))</f>
        <v/>
      </c>
      <c r="Q434" s="19"/>
    </row>
    <row r="435" spans="1:17" x14ac:dyDescent="0.15">
      <c r="A435" s="23"/>
      <c r="B435" s="3"/>
      <c r="C435" s="3"/>
      <c r="D435" s="3"/>
      <c r="E435" s="3"/>
      <c r="F435" s="23"/>
      <c r="G435" s="24"/>
      <c r="H435" s="1"/>
      <c r="I435" s="6"/>
      <c r="J435" s="6"/>
      <c r="K435" s="5"/>
      <c r="L435" s="24"/>
      <c r="M435" s="31" t="str">
        <f t="shared" si="9"/>
        <v/>
      </c>
      <c r="N435" s="7" t="str">
        <f t="shared" si="10"/>
        <v/>
      </c>
      <c r="O435" s="8" t="str">
        <f>IF(J435="","",M435/L435)</f>
        <v/>
      </c>
      <c r="P435" s="9" t="str">
        <f>IF(O435="","",(O435/(N435)*365))</f>
        <v/>
      </c>
      <c r="Q435" s="10"/>
    </row>
    <row r="436" spans="1:17" x14ac:dyDescent="0.15">
      <c r="A436" s="21"/>
      <c r="B436" s="20"/>
      <c r="C436" s="20"/>
      <c r="D436" s="20"/>
      <c r="E436" s="20"/>
      <c r="F436" s="21"/>
      <c r="G436" s="22"/>
      <c r="H436" s="11"/>
      <c r="I436" s="15"/>
      <c r="J436" s="15"/>
      <c r="K436" s="14"/>
      <c r="L436" s="22"/>
      <c r="M436" s="32" t="str">
        <f t="shared" si="9"/>
        <v/>
      </c>
      <c r="N436" s="16" t="str">
        <f t="shared" si="10"/>
        <v/>
      </c>
      <c r="O436" s="17" t="str">
        <f>IF(J436="","",M436/L436)</f>
        <v/>
      </c>
      <c r="P436" s="18" t="str">
        <f>IF(O436="","",(O436/(N436)*365))</f>
        <v/>
      </c>
      <c r="Q436" s="19"/>
    </row>
    <row r="437" spans="1:17" x14ac:dyDescent="0.15">
      <c r="A437" s="23"/>
      <c r="B437" s="3"/>
      <c r="C437" s="3"/>
      <c r="D437" s="3"/>
      <c r="E437" s="3"/>
      <c r="F437" s="23"/>
      <c r="G437" s="24"/>
      <c r="H437" s="1"/>
      <c r="I437" s="6"/>
      <c r="J437" s="6"/>
      <c r="K437" s="5"/>
      <c r="L437" s="24"/>
      <c r="M437" s="31" t="str">
        <f t="shared" si="9"/>
        <v/>
      </c>
      <c r="N437" s="7" t="str">
        <f t="shared" si="10"/>
        <v/>
      </c>
      <c r="O437" s="8" t="str">
        <f>IF(J437="","",M437/L437)</f>
        <v/>
      </c>
      <c r="P437" s="9" t="str">
        <f>IF(O437="","",(O437/(N437)*365))</f>
        <v/>
      </c>
      <c r="Q437" s="10"/>
    </row>
    <row r="438" spans="1:17" x14ac:dyDescent="0.15">
      <c r="A438" s="21"/>
      <c r="B438" s="20"/>
      <c r="C438" s="20"/>
      <c r="D438" s="20"/>
      <c r="E438" s="20"/>
      <c r="F438" s="21"/>
      <c r="G438" s="22"/>
      <c r="H438" s="11"/>
      <c r="I438" s="15"/>
      <c r="J438" s="15"/>
      <c r="K438" s="14"/>
      <c r="L438" s="22"/>
      <c r="M438" s="32" t="str">
        <f t="shared" si="9"/>
        <v/>
      </c>
      <c r="N438" s="16" t="str">
        <f t="shared" si="10"/>
        <v/>
      </c>
      <c r="O438" s="17" t="str">
        <f>IF(J438="","",M438/L438)</f>
        <v/>
      </c>
      <c r="P438" s="18" t="str">
        <f>IF(O438="","",(O438/(N438)*365))</f>
        <v/>
      </c>
      <c r="Q438" s="19"/>
    </row>
    <row r="439" spans="1:17" x14ac:dyDescent="0.15">
      <c r="A439" s="23"/>
      <c r="B439" s="3"/>
      <c r="C439" s="3"/>
      <c r="D439" s="3"/>
      <c r="E439" s="3"/>
      <c r="F439" s="23"/>
      <c r="G439" s="24"/>
      <c r="H439" s="1"/>
      <c r="I439" s="6"/>
      <c r="J439" s="6"/>
      <c r="K439" s="5"/>
      <c r="L439" s="24"/>
      <c r="M439" s="31" t="str">
        <f t="shared" si="9"/>
        <v/>
      </c>
      <c r="N439" s="7" t="str">
        <f t="shared" si="10"/>
        <v/>
      </c>
      <c r="O439" s="8" t="str">
        <f>IF(J439="","",M439/L439)</f>
        <v/>
      </c>
      <c r="P439" s="9" t="str">
        <f>IF(O439="","",(O439/(N439)*365))</f>
        <v/>
      </c>
      <c r="Q439" s="10"/>
    </row>
    <row r="440" spans="1:17" x14ac:dyDescent="0.15">
      <c r="A440" s="21"/>
      <c r="B440" s="20"/>
      <c r="C440" s="20"/>
      <c r="D440" s="20"/>
      <c r="E440" s="20"/>
      <c r="F440" s="21"/>
      <c r="G440" s="22"/>
      <c r="H440" s="11"/>
      <c r="I440" s="15"/>
      <c r="J440" s="15"/>
      <c r="K440" s="14"/>
      <c r="L440" s="22"/>
      <c r="M440" s="32" t="str">
        <f t="shared" si="9"/>
        <v/>
      </c>
      <c r="N440" s="16" t="str">
        <f t="shared" si="10"/>
        <v/>
      </c>
      <c r="O440" s="17" t="str">
        <f>IF(J440="","",M440/L440)</f>
        <v/>
      </c>
      <c r="P440" s="18" t="str">
        <f>IF(O440="","",(O440/(N440)*365))</f>
        <v/>
      </c>
      <c r="Q440" s="19"/>
    </row>
    <row r="441" spans="1:17" x14ac:dyDescent="0.15">
      <c r="A441" s="23"/>
      <c r="B441" s="3"/>
      <c r="C441" s="3"/>
      <c r="D441" s="3"/>
      <c r="E441" s="3"/>
      <c r="F441" s="23"/>
      <c r="G441" s="24"/>
      <c r="H441" s="1"/>
      <c r="I441" s="6"/>
      <c r="J441" s="6"/>
      <c r="K441" s="5"/>
      <c r="L441" s="24"/>
      <c r="M441" s="31" t="str">
        <f t="shared" si="9"/>
        <v/>
      </c>
      <c r="N441" s="7" t="str">
        <f t="shared" si="10"/>
        <v/>
      </c>
      <c r="O441" s="8" t="str">
        <f>IF(J441="","",M441/L441)</f>
        <v/>
      </c>
      <c r="P441" s="9" t="str">
        <f>IF(O441="","",(O441/(N441)*365))</f>
        <v/>
      </c>
      <c r="Q441" s="10"/>
    </row>
    <row r="442" spans="1:17" x14ac:dyDescent="0.15">
      <c r="A442" s="21"/>
      <c r="B442" s="20"/>
      <c r="C442" s="20"/>
      <c r="D442" s="20"/>
      <c r="E442" s="20"/>
      <c r="F442" s="21"/>
      <c r="G442" s="22"/>
      <c r="H442" s="11"/>
      <c r="I442" s="15"/>
      <c r="J442" s="15"/>
      <c r="K442" s="14"/>
      <c r="L442" s="22"/>
      <c r="M442" s="32" t="str">
        <f t="shared" si="9"/>
        <v/>
      </c>
      <c r="N442" s="16" t="str">
        <f t="shared" si="10"/>
        <v/>
      </c>
      <c r="O442" s="17" t="str">
        <f>IF(J442="","",M442/L442)</f>
        <v/>
      </c>
      <c r="P442" s="18" t="str">
        <f>IF(O442="","",(O442/(N442)*365))</f>
        <v/>
      </c>
      <c r="Q442" s="19"/>
    </row>
    <row r="443" spans="1:17" x14ac:dyDescent="0.15">
      <c r="A443" s="23"/>
      <c r="B443" s="3"/>
      <c r="C443" s="3"/>
      <c r="D443" s="3"/>
      <c r="E443" s="3"/>
      <c r="F443" s="23"/>
      <c r="G443" s="24"/>
      <c r="H443" s="1"/>
      <c r="I443" s="6"/>
      <c r="J443" s="6"/>
      <c r="K443" s="5"/>
      <c r="L443" s="24"/>
      <c r="M443" s="31" t="str">
        <f t="shared" si="9"/>
        <v/>
      </c>
      <c r="N443" s="7" t="str">
        <f t="shared" si="10"/>
        <v/>
      </c>
      <c r="O443" s="8" t="str">
        <f>IF(J443="","",M443/L443)</f>
        <v/>
      </c>
      <c r="P443" s="9" t="str">
        <f>IF(O443="","",(O443/(N443)*365))</f>
        <v/>
      </c>
      <c r="Q443" s="10"/>
    </row>
    <row r="444" spans="1:17" x14ac:dyDescent="0.15">
      <c r="A444" s="21"/>
      <c r="B444" s="20"/>
      <c r="C444" s="20"/>
      <c r="D444" s="20"/>
      <c r="E444" s="20"/>
      <c r="F444" s="21"/>
      <c r="G444" s="22"/>
      <c r="H444" s="11"/>
      <c r="I444" s="15"/>
      <c r="J444" s="15"/>
      <c r="K444" s="14"/>
      <c r="L444" s="22"/>
      <c r="M444" s="32" t="str">
        <f t="shared" si="9"/>
        <v/>
      </c>
      <c r="N444" s="16" t="str">
        <f t="shared" si="10"/>
        <v/>
      </c>
      <c r="O444" s="17" t="str">
        <f>IF(J444="","",M444/L444)</f>
        <v/>
      </c>
      <c r="P444" s="18" t="str">
        <f>IF(O444="","",(O444/(N444)*365))</f>
        <v/>
      </c>
      <c r="Q444" s="19"/>
    </row>
    <row r="445" spans="1:17" x14ac:dyDescent="0.15">
      <c r="A445" s="23"/>
      <c r="B445" s="3"/>
      <c r="C445" s="3"/>
      <c r="D445" s="3"/>
      <c r="E445" s="3"/>
      <c r="F445" s="23"/>
      <c r="G445" s="24"/>
      <c r="H445" s="1"/>
      <c r="I445" s="6"/>
      <c r="J445" s="6"/>
      <c r="K445" s="5"/>
      <c r="L445" s="24"/>
      <c r="M445" s="31" t="str">
        <f t="shared" si="9"/>
        <v/>
      </c>
      <c r="N445" s="7" t="str">
        <f t="shared" si="10"/>
        <v/>
      </c>
      <c r="O445" s="8" t="str">
        <f>IF(J445="","",M445/L445)</f>
        <v/>
      </c>
      <c r="P445" s="9" t="str">
        <f>IF(O445="","",(O445/(N445)*365))</f>
        <v/>
      </c>
      <c r="Q445" s="10"/>
    </row>
    <row r="446" spans="1:17" x14ac:dyDescent="0.15">
      <c r="A446" s="21"/>
      <c r="B446" s="20"/>
      <c r="C446" s="20"/>
      <c r="D446" s="20"/>
      <c r="E446" s="20"/>
      <c r="F446" s="21"/>
      <c r="G446" s="22"/>
      <c r="H446" s="11"/>
      <c r="I446" s="15"/>
      <c r="J446" s="15"/>
      <c r="K446" s="14"/>
      <c r="L446" s="22"/>
      <c r="M446" s="32" t="str">
        <f t="shared" si="9"/>
        <v/>
      </c>
      <c r="N446" s="16" t="str">
        <f t="shared" si="10"/>
        <v/>
      </c>
      <c r="O446" s="17" t="str">
        <f>IF(J446="","",M446/L446)</f>
        <v/>
      </c>
      <c r="P446" s="18" t="str">
        <f>IF(O446="","",(O446/(N446)*365))</f>
        <v/>
      </c>
      <c r="Q446" s="19"/>
    </row>
    <row r="447" spans="1:17" x14ac:dyDescent="0.15">
      <c r="A447" s="23"/>
      <c r="B447" s="3"/>
      <c r="C447" s="3"/>
      <c r="D447" s="3"/>
      <c r="E447" s="3"/>
      <c r="F447" s="23"/>
      <c r="G447" s="24"/>
      <c r="H447" s="1"/>
      <c r="I447" s="6"/>
      <c r="J447" s="6"/>
      <c r="K447" s="5"/>
      <c r="L447" s="24"/>
      <c r="M447" s="31" t="str">
        <f t="shared" si="9"/>
        <v/>
      </c>
      <c r="N447" s="7" t="str">
        <f t="shared" si="10"/>
        <v/>
      </c>
      <c r="O447" s="8" t="str">
        <f>IF(J447="","",M447/L447)</f>
        <v/>
      </c>
      <c r="P447" s="9" t="str">
        <f>IF(O447="","",(O447/(N447)*365))</f>
        <v/>
      </c>
      <c r="Q447" s="10"/>
    </row>
    <row r="448" spans="1:17" x14ac:dyDescent="0.15">
      <c r="A448" s="21"/>
      <c r="B448" s="20"/>
      <c r="C448" s="20"/>
      <c r="D448" s="20"/>
      <c r="E448" s="20"/>
      <c r="F448" s="21"/>
      <c r="G448" s="22"/>
      <c r="H448" s="11"/>
      <c r="I448" s="15"/>
      <c r="J448" s="15"/>
      <c r="K448" s="14"/>
      <c r="L448" s="22"/>
      <c r="M448" s="32" t="str">
        <f t="shared" si="9"/>
        <v/>
      </c>
      <c r="N448" s="16" t="str">
        <f t="shared" si="10"/>
        <v/>
      </c>
      <c r="O448" s="17" t="str">
        <f>IF(J448="","",M448/L448)</f>
        <v/>
      </c>
      <c r="P448" s="18" t="str">
        <f>IF(O448="","",(O448/(N448)*365))</f>
        <v/>
      </c>
      <c r="Q448" s="19"/>
    </row>
    <row r="449" spans="1:17" x14ac:dyDescent="0.15">
      <c r="A449" s="23"/>
      <c r="B449" s="3"/>
      <c r="C449" s="3"/>
      <c r="D449" s="3"/>
      <c r="E449" s="3"/>
      <c r="F449" s="23"/>
      <c r="G449" s="24"/>
      <c r="H449" s="1"/>
      <c r="I449" s="6"/>
      <c r="J449" s="6"/>
      <c r="K449" s="5"/>
      <c r="L449" s="24"/>
      <c r="M449" s="31" t="str">
        <f t="shared" si="9"/>
        <v/>
      </c>
      <c r="N449" s="7" t="str">
        <f t="shared" si="10"/>
        <v/>
      </c>
      <c r="O449" s="8" t="str">
        <f>IF(J449="","",M449/L449)</f>
        <v/>
      </c>
      <c r="P449" s="9" t="str">
        <f>IF(O449="","",(O449/(N449)*365))</f>
        <v/>
      </c>
      <c r="Q449" s="26"/>
    </row>
    <row r="450" spans="1:17" x14ac:dyDescent="0.15">
      <c r="A450" s="21"/>
      <c r="B450" s="20"/>
      <c r="C450" s="20"/>
      <c r="D450" s="20"/>
      <c r="E450" s="20"/>
      <c r="F450" s="21"/>
      <c r="G450" s="22"/>
      <c r="H450" s="11"/>
      <c r="I450" s="15"/>
      <c r="J450" s="15"/>
      <c r="K450" s="14"/>
      <c r="L450" s="22"/>
      <c r="M450" s="32" t="str">
        <f t="shared" si="9"/>
        <v/>
      </c>
      <c r="N450" s="16" t="str">
        <f t="shared" si="10"/>
        <v/>
      </c>
      <c r="O450" s="17" t="str">
        <f>IF(J450="","",M450/L450)</f>
        <v/>
      </c>
      <c r="P450" s="18" t="str">
        <f>IF(O450="","",(O450/(N450)*365))</f>
        <v/>
      </c>
      <c r="Q450" s="19"/>
    </row>
    <row r="451" spans="1:17" x14ac:dyDescent="0.15">
      <c r="A451" s="23"/>
      <c r="B451" s="3"/>
      <c r="C451" s="3"/>
      <c r="D451" s="3"/>
      <c r="E451" s="3"/>
      <c r="F451" s="23"/>
      <c r="G451" s="24"/>
      <c r="H451" s="1"/>
      <c r="I451" s="6"/>
      <c r="J451" s="6"/>
      <c r="K451" s="5"/>
      <c r="L451" s="24"/>
      <c r="M451" s="31" t="str">
        <f t="shared" si="9"/>
        <v/>
      </c>
      <c r="N451" s="7" t="str">
        <f t="shared" si="10"/>
        <v/>
      </c>
      <c r="O451" s="8" t="str">
        <f>IF(J451="","",M451/L451)</f>
        <v/>
      </c>
      <c r="P451" s="9" t="str">
        <f>IF(O451="","",(O451/(N451)*365))</f>
        <v/>
      </c>
      <c r="Q451" s="10"/>
    </row>
    <row r="452" spans="1:17" x14ac:dyDescent="0.15">
      <c r="A452" s="21"/>
      <c r="B452" s="20"/>
      <c r="C452" s="20"/>
      <c r="D452" s="20"/>
      <c r="E452" s="20"/>
      <c r="F452" s="21"/>
      <c r="G452" s="22"/>
      <c r="H452" s="11"/>
      <c r="I452" s="15"/>
      <c r="J452" s="15"/>
      <c r="K452" s="14"/>
      <c r="L452" s="22"/>
      <c r="M452" s="32" t="str">
        <f t="shared" si="9"/>
        <v/>
      </c>
      <c r="N452" s="16" t="str">
        <f t="shared" si="10"/>
        <v/>
      </c>
      <c r="O452" s="17" t="str">
        <f>IF(J452="","",M452/L452)</f>
        <v/>
      </c>
      <c r="P452" s="18" t="str">
        <f>IF(O452="","",(O452/(N452)*365))</f>
        <v/>
      </c>
      <c r="Q452" s="19"/>
    </row>
    <row r="453" spans="1:17" x14ac:dyDescent="0.15">
      <c r="A453" s="23"/>
      <c r="B453" s="3"/>
      <c r="C453" s="3"/>
      <c r="D453" s="3"/>
      <c r="E453" s="3"/>
      <c r="F453" s="23"/>
      <c r="G453" s="24"/>
      <c r="H453" s="1"/>
      <c r="I453" s="6"/>
      <c r="J453" s="6"/>
      <c r="K453" s="5"/>
      <c r="L453" s="24"/>
      <c r="M453" s="31" t="str">
        <f t="shared" si="9"/>
        <v/>
      </c>
      <c r="N453" s="7" t="str">
        <f t="shared" si="10"/>
        <v/>
      </c>
      <c r="O453" s="8" t="str">
        <f>IF(J453="","",M453/L453)</f>
        <v/>
      </c>
      <c r="P453" s="9" t="str">
        <f>IF(O453="","",(O453/(N453)*365))</f>
        <v/>
      </c>
      <c r="Q453" s="10"/>
    </row>
    <row r="454" spans="1:17" x14ac:dyDescent="0.15">
      <c r="A454" s="21"/>
      <c r="B454" s="20"/>
      <c r="C454" s="20"/>
      <c r="D454" s="20"/>
      <c r="E454" s="20"/>
      <c r="F454" s="21"/>
      <c r="G454" s="22"/>
      <c r="H454" s="11"/>
      <c r="I454" s="15"/>
      <c r="J454" s="15"/>
      <c r="K454" s="14"/>
      <c r="L454" s="22"/>
      <c r="M454" s="32" t="str">
        <f t="shared" si="9"/>
        <v/>
      </c>
      <c r="N454" s="16" t="str">
        <f t="shared" si="10"/>
        <v/>
      </c>
      <c r="O454" s="17" t="str">
        <f>IF(J454="","",M454/L454)</f>
        <v/>
      </c>
      <c r="P454" s="18" t="str">
        <f>IF(O454="","",(O454/(N454)*365))</f>
        <v/>
      </c>
      <c r="Q454" s="19"/>
    </row>
    <row r="455" spans="1:17" x14ac:dyDescent="0.15">
      <c r="A455" s="23"/>
      <c r="B455" s="3"/>
      <c r="C455" s="3"/>
      <c r="D455" s="3"/>
      <c r="E455" s="3"/>
      <c r="F455" s="23"/>
      <c r="G455" s="24"/>
      <c r="H455" s="1"/>
      <c r="I455" s="6"/>
      <c r="J455" s="6"/>
      <c r="K455" s="5"/>
      <c r="L455" s="24"/>
      <c r="M455" s="31" t="str">
        <f t="shared" si="9"/>
        <v/>
      </c>
      <c r="N455" s="7" t="str">
        <f t="shared" si="10"/>
        <v/>
      </c>
      <c r="O455" s="8" t="str">
        <f>IF(J455="","",M455/L455)</f>
        <v/>
      </c>
      <c r="P455" s="9" t="str">
        <f>IF(O455="","",(O455/(N455)*365))</f>
        <v/>
      </c>
      <c r="Q455" s="10"/>
    </row>
    <row r="456" spans="1:17" x14ac:dyDescent="0.15">
      <c r="A456" s="21"/>
      <c r="B456" s="20"/>
      <c r="C456" s="20"/>
      <c r="D456" s="20"/>
      <c r="E456" s="20"/>
      <c r="F456" s="21"/>
      <c r="G456" s="22"/>
      <c r="H456" s="11"/>
      <c r="I456" s="15"/>
      <c r="J456" s="15"/>
      <c r="K456" s="14"/>
      <c r="L456" s="22"/>
      <c r="M456" s="32" t="str">
        <f t="shared" si="9"/>
        <v/>
      </c>
      <c r="N456" s="16" t="str">
        <f t="shared" si="10"/>
        <v/>
      </c>
      <c r="O456" s="17" t="str">
        <f>IF(J456="","",M456/L456)</f>
        <v/>
      </c>
      <c r="P456" s="18" t="str">
        <f>IF(O456="","",(O456/(N456)*365))</f>
        <v/>
      </c>
      <c r="Q456" s="19"/>
    </row>
    <row r="457" spans="1:17" x14ac:dyDescent="0.15">
      <c r="A457" s="23"/>
      <c r="B457" s="3"/>
      <c r="C457" s="3"/>
      <c r="D457" s="3"/>
      <c r="E457" s="3"/>
      <c r="F457" s="23"/>
      <c r="G457" s="24"/>
      <c r="H457" s="1"/>
      <c r="I457" s="6"/>
      <c r="J457" s="6"/>
      <c r="K457" s="5"/>
      <c r="L457" s="24"/>
      <c r="M457" s="31" t="str">
        <f t="shared" si="9"/>
        <v/>
      </c>
      <c r="N457" s="7" t="str">
        <f t="shared" si="10"/>
        <v/>
      </c>
      <c r="O457" s="8" t="str">
        <f>IF(J457="","",M457/L457)</f>
        <v/>
      </c>
      <c r="P457" s="9" t="str">
        <f>IF(O457="","",(O457/(N457)*365))</f>
        <v/>
      </c>
      <c r="Q457" s="10"/>
    </row>
    <row r="458" spans="1:17" x14ac:dyDescent="0.15">
      <c r="A458" s="21"/>
      <c r="B458" s="20"/>
      <c r="C458" s="20"/>
      <c r="D458" s="20"/>
      <c r="E458" s="20"/>
      <c r="F458" s="21"/>
      <c r="G458" s="22"/>
      <c r="H458" s="11"/>
      <c r="I458" s="15"/>
      <c r="J458" s="15"/>
      <c r="K458" s="14"/>
      <c r="L458" s="22"/>
      <c r="M458" s="32" t="str">
        <f t="shared" si="9"/>
        <v/>
      </c>
      <c r="N458" s="16" t="str">
        <f t="shared" si="10"/>
        <v/>
      </c>
      <c r="O458" s="17" t="str">
        <f>IF(J458="","",M458/L458)</f>
        <v/>
      </c>
      <c r="P458" s="18" t="str">
        <f>IF(O458="","",(O458/(N458)*365))</f>
        <v/>
      </c>
      <c r="Q458" s="19"/>
    </row>
    <row r="459" spans="1:17" x14ac:dyDescent="0.15">
      <c r="A459" s="23"/>
      <c r="B459" s="3"/>
      <c r="C459" s="3"/>
      <c r="D459" s="3"/>
      <c r="E459" s="3"/>
      <c r="F459" s="23"/>
      <c r="G459" s="24"/>
      <c r="H459" s="1"/>
      <c r="I459" s="6"/>
      <c r="J459" s="6"/>
      <c r="K459" s="5"/>
      <c r="L459" s="24"/>
      <c r="M459" s="31" t="str">
        <f t="shared" si="9"/>
        <v/>
      </c>
      <c r="N459" s="7" t="str">
        <f t="shared" si="10"/>
        <v/>
      </c>
      <c r="O459" s="8" t="str">
        <f>IF(J459="","",M459/L459)</f>
        <v/>
      </c>
      <c r="P459" s="9" t="str">
        <f>IF(O459="","",(O459/(N459)*365))</f>
        <v/>
      </c>
      <c r="Q459" s="10"/>
    </row>
    <row r="460" spans="1:17" x14ac:dyDescent="0.15">
      <c r="A460" s="21"/>
      <c r="B460" s="20"/>
      <c r="C460" s="20"/>
      <c r="D460" s="20"/>
      <c r="E460" s="20"/>
      <c r="F460" s="21"/>
      <c r="G460" s="22"/>
      <c r="H460" s="11"/>
      <c r="I460" s="15"/>
      <c r="J460" s="15"/>
      <c r="K460" s="14"/>
      <c r="L460" s="22"/>
      <c r="M460" s="32" t="str">
        <f t="shared" si="9"/>
        <v/>
      </c>
      <c r="N460" s="16" t="str">
        <f t="shared" si="10"/>
        <v/>
      </c>
      <c r="O460" s="17" t="str">
        <f>IF(J460="","",M460/L460)</f>
        <v/>
      </c>
      <c r="P460" s="18" t="str">
        <f>IF(O460="","",(O460/(N460)*365))</f>
        <v/>
      </c>
      <c r="Q460" s="19"/>
    </row>
    <row r="461" spans="1:17" x14ac:dyDescent="0.15">
      <c r="A461" s="23"/>
      <c r="B461" s="3"/>
      <c r="C461" s="3"/>
      <c r="D461" s="3"/>
      <c r="E461" s="3"/>
      <c r="F461" s="23"/>
      <c r="G461" s="24"/>
      <c r="H461" s="1"/>
      <c r="I461" s="6"/>
      <c r="J461" s="6"/>
      <c r="K461" s="5"/>
      <c r="L461" s="24"/>
      <c r="M461" s="31" t="str">
        <f t="shared" si="9"/>
        <v/>
      </c>
      <c r="N461" s="7" t="str">
        <f t="shared" si="10"/>
        <v/>
      </c>
      <c r="O461" s="8" t="str">
        <f>IF(J461="","",M461/L461)</f>
        <v/>
      </c>
      <c r="P461" s="9" t="str">
        <f>IF(O461="","",(O461/(N461)*365))</f>
        <v/>
      </c>
      <c r="Q461" s="10"/>
    </row>
    <row r="462" spans="1:17" x14ac:dyDescent="0.15">
      <c r="A462" s="21"/>
      <c r="B462" s="20"/>
      <c r="C462" s="20"/>
      <c r="D462" s="20"/>
      <c r="E462" s="20"/>
      <c r="F462" s="21"/>
      <c r="G462" s="22"/>
      <c r="H462" s="11"/>
      <c r="I462" s="15"/>
      <c r="J462" s="15"/>
      <c r="K462" s="14"/>
      <c r="L462" s="22"/>
      <c r="M462" s="32" t="str">
        <f t="shared" si="9"/>
        <v/>
      </c>
      <c r="N462" s="16" t="str">
        <f t="shared" si="10"/>
        <v/>
      </c>
      <c r="O462" s="17" t="str">
        <f>IF(J462="","",M462/L462)</f>
        <v/>
      </c>
      <c r="P462" s="18" t="str">
        <f>IF(O462="","",(O462/(N462)*365))</f>
        <v/>
      </c>
      <c r="Q462" s="19"/>
    </row>
    <row r="463" spans="1:17" x14ac:dyDescent="0.15">
      <c r="A463" s="23"/>
      <c r="B463" s="3"/>
      <c r="C463" s="3"/>
      <c r="D463" s="3"/>
      <c r="E463" s="3"/>
      <c r="F463" s="23"/>
      <c r="G463" s="24"/>
      <c r="H463" s="1"/>
      <c r="I463" s="6"/>
      <c r="J463" s="6"/>
      <c r="K463" s="5"/>
      <c r="L463" s="24"/>
      <c r="M463" s="31" t="str">
        <f t="shared" si="9"/>
        <v/>
      </c>
      <c r="N463" s="7" t="str">
        <f t="shared" si="10"/>
        <v/>
      </c>
      <c r="O463" s="8" t="str">
        <f>IF(J463="","",M463/L463)</f>
        <v/>
      </c>
      <c r="P463" s="9" t="str">
        <f>IF(O463="","",(O463/(N463)*365))</f>
        <v/>
      </c>
      <c r="Q463" s="10"/>
    </row>
    <row r="464" spans="1:17" x14ac:dyDescent="0.15">
      <c r="A464" s="21"/>
      <c r="B464" s="20"/>
      <c r="C464" s="20"/>
      <c r="D464" s="20"/>
      <c r="E464" s="20"/>
      <c r="F464" s="21"/>
      <c r="G464" s="22"/>
      <c r="H464" s="11"/>
      <c r="I464" s="15"/>
      <c r="J464" s="15"/>
      <c r="K464" s="14"/>
      <c r="L464" s="22"/>
      <c r="M464" s="32" t="str">
        <f t="shared" si="9"/>
        <v/>
      </c>
      <c r="N464" s="16" t="str">
        <f t="shared" si="10"/>
        <v/>
      </c>
      <c r="O464" s="17" t="str">
        <f>IF(J464="","",M464/L464)</f>
        <v/>
      </c>
      <c r="P464" s="18" t="str">
        <f>IF(O464="","",(O464/(N464)*365))</f>
        <v/>
      </c>
      <c r="Q464" s="19"/>
    </row>
    <row r="465" spans="1:17" x14ac:dyDescent="0.15">
      <c r="A465" s="23"/>
      <c r="B465" s="3"/>
      <c r="C465" s="3"/>
      <c r="D465" s="3"/>
      <c r="E465" s="3"/>
      <c r="F465" s="23"/>
      <c r="G465" s="24"/>
      <c r="H465" s="1"/>
      <c r="I465" s="6"/>
      <c r="J465" s="6"/>
      <c r="K465" s="5"/>
      <c r="L465" s="24"/>
      <c r="M465" s="31" t="str">
        <f t="shared" si="9"/>
        <v/>
      </c>
      <c r="N465" s="7" t="str">
        <f t="shared" si="10"/>
        <v/>
      </c>
      <c r="O465" s="8" t="str">
        <f>IF(J465="","",M465/L465)</f>
        <v/>
      </c>
      <c r="P465" s="9" t="str">
        <f>IF(O465="","",(O465/(N465)*365))</f>
        <v/>
      </c>
      <c r="Q465" s="10"/>
    </row>
    <row r="466" spans="1:17" x14ac:dyDescent="0.15">
      <c r="A466" s="21"/>
      <c r="B466" s="20"/>
      <c r="C466" s="20"/>
      <c r="D466" s="20"/>
      <c r="E466" s="20"/>
      <c r="F466" s="21"/>
      <c r="G466" s="22"/>
      <c r="H466" s="11"/>
      <c r="I466" s="15"/>
      <c r="J466" s="15"/>
      <c r="K466" s="14"/>
      <c r="L466" s="22"/>
      <c r="M466" s="32" t="str">
        <f t="shared" si="9"/>
        <v/>
      </c>
      <c r="N466" s="16" t="str">
        <f t="shared" si="10"/>
        <v/>
      </c>
      <c r="O466" s="17" t="str">
        <f>IF(J466="","",M466/L466)</f>
        <v/>
      </c>
      <c r="P466" s="18" t="str">
        <f>IF(O466="","",(O466/(N466)*365))</f>
        <v/>
      </c>
      <c r="Q466" s="19"/>
    </row>
    <row r="467" spans="1:17" x14ac:dyDescent="0.15">
      <c r="A467" s="23"/>
      <c r="B467" s="3"/>
      <c r="C467" s="3"/>
      <c r="D467" s="3"/>
      <c r="E467" s="3"/>
      <c r="F467" s="23"/>
      <c r="G467" s="24"/>
      <c r="H467" s="1"/>
      <c r="I467" s="6"/>
      <c r="J467" s="6"/>
      <c r="K467" s="5"/>
      <c r="L467" s="24"/>
      <c r="M467" s="31" t="str">
        <f t="shared" si="9"/>
        <v/>
      </c>
      <c r="N467" s="7" t="str">
        <f t="shared" si="10"/>
        <v/>
      </c>
      <c r="O467" s="8" t="str">
        <f>IF(J467="","",M467/L467)</f>
        <v/>
      </c>
      <c r="P467" s="9" t="str">
        <f>IF(O467="","",(O467/(N467)*365))</f>
        <v/>
      </c>
      <c r="Q467" s="10"/>
    </row>
    <row r="468" spans="1:17" x14ac:dyDescent="0.15">
      <c r="A468" s="21"/>
      <c r="B468" s="20"/>
      <c r="C468" s="20"/>
      <c r="D468" s="20"/>
      <c r="E468" s="20"/>
      <c r="F468" s="21"/>
      <c r="G468" s="22"/>
      <c r="H468" s="11"/>
      <c r="I468" s="15"/>
      <c r="J468" s="15"/>
      <c r="K468" s="14"/>
      <c r="L468" s="22"/>
      <c r="M468" s="32" t="str">
        <f t="shared" si="9"/>
        <v/>
      </c>
      <c r="N468" s="16" t="str">
        <f t="shared" si="10"/>
        <v/>
      </c>
      <c r="O468" s="17" t="str">
        <f>IF(J468="","",M468/L468)</f>
        <v/>
      </c>
      <c r="P468" s="18" t="str">
        <f>IF(O468="","",(O468/(N468)*365))</f>
        <v/>
      </c>
      <c r="Q468" s="19"/>
    </row>
    <row r="469" spans="1:17" x14ac:dyDescent="0.15">
      <c r="A469" s="23"/>
      <c r="B469" s="3"/>
      <c r="C469" s="3"/>
      <c r="D469" s="3"/>
      <c r="E469" s="3"/>
      <c r="F469" s="23"/>
      <c r="G469" s="24"/>
      <c r="H469" s="1"/>
      <c r="I469" s="6"/>
      <c r="J469" s="6"/>
      <c r="K469" s="5"/>
      <c r="L469" s="24"/>
      <c r="M469" s="31" t="str">
        <f t="shared" si="9"/>
        <v/>
      </c>
      <c r="N469" s="7" t="str">
        <f t="shared" si="10"/>
        <v/>
      </c>
      <c r="O469" s="8" t="str">
        <f>IF(J469="","",M469/L469)</f>
        <v/>
      </c>
      <c r="P469" s="9" t="str">
        <f>IF(O469="","",(O469/(N469)*365))</f>
        <v/>
      </c>
      <c r="Q469" s="10"/>
    </row>
    <row r="470" spans="1:17" x14ac:dyDescent="0.15">
      <c r="A470" s="21"/>
      <c r="B470" s="20"/>
      <c r="C470" s="20"/>
      <c r="D470" s="20"/>
      <c r="E470" s="20"/>
      <c r="F470" s="21"/>
      <c r="G470" s="22"/>
      <c r="H470" s="11"/>
      <c r="I470" s="15"/>
      <c r="J470" s="15"/>
      <c r="K470" s="14"/>
      <c r="L470" s="22"/>
      <c r="M470" s="32" t="str">
        <f t="shared" si="9"/>
        <v/>
      </c>
      <c r="N470" s="16" t="str">
        <f t="shared" si="10"/>
        <v/>
      </c>
      <c r="O470" s="17" t="str">
        <f>IF(J470="","",M470/L470)</f>
        <v/>
      </c>
      <c r="P470" s="18" t="str">
        <f>IF(O470="","",(O470/(N470)*365))</f>
        <v/>
      </c>
      <c r="Q470" s="19"/>
    </row>
    <row r="471" spans="1:17" x14ac:dyDescent="0.15">
      <c r="A471" s="23"/>
      <c r="B471" s="3"/>
      <c r="C471" s="3"/>
      <c r="D471" s="3"/>
      <c r="E471" s="3"/>
      <c r="F471" s="23"/>
      <c r="G471" s="24"/>
      <c r="H471" s="1"/>
      <c r="I471" s="6"/>
      <c r="J471" s="6"/>
      <c r="K471" s="5"/>
      <c r="L471" s="24"/>
      <c r="M471" s="31" t="str">
        <f t="shared" si="9"/>
        <v/>
      </c>
      <c r="N471" s="7" t="str">
        <f t="shared" si="10"/>
        <v/>
      </c>
      <c r="O471" s="8" t="str">
        <f>IF(J471="","",M471/L471)</f>
        <v/>
      </c>
      <c r="P471" s="9" t="str">
        <f>IF(O471="","",(O471/(N471)*365))</f>
        <v/>
      </c>
      <c r="Q471" s="10"/>
    </row>
    <row r="472" spans="1:17" x14ac:dyDescent="0.15">
      <c r="A472" s="21"/>
      <c r="B472" s="20"/>
      <c r="C472" s="20"/>
      <c r="D472" s="20"/>
      <c r="E472" s="20"/>
      <c r="F472" s="21"/>
      <c r="G472" s="22"/>
      <c r="H472" s="11"/>
      <c r="I472" s="15"/>
      <c r="J472" s="15"/>
      <c r="K472" s="14"/>
      <c r="L472" s="22"/>
      <c r="M472" s="32" t="str">
        <f t="shared" si="9"/>
        <v/>
      </c>
      <c r="N472" s="16" t="str">
        <f t="shared" si="10"/>
        <v/>
      </c>
      <c r="O472" s="17" t="str">
        <f>IF(J472="","",M472/L472)</f>
        <v/>
      </c>
      <c r="P472" s="18" t="str">
        <f>IF(O472="","",(O472/(N472)*365))</f>
        <v/>
      </c>
      <c r="Q472" s="19"/>
    </row>
    <row r="473" spans="1:17" x14ac:dyDescent="0.15">
      <c r="A473" s="23"/>
      <c r="B473" s="3"/>
      <c r="C473" s="3"/>
      <c r="D473" s="3"/>
      <c r="E473" s="3"/>
      <c r="F473" s="23"/>
      <c r="G473" s="24"/>
      <c r="H473" s="1"/>
      <c r="I473" s="6"/>
      <c r="J473" s="6"/>
      <c r="K473" s="5"/>
      <c r="L473" s="24"/>
      <c r="M473" s="31" t="str">
        <f t="shared" si="9"/>
        <v/>
      </c>
      <c r="N473" s="7" t="str">
        <f t="shared" si="10"/>
        <v/>
      </c>
      <c r="O473" s="8" t="str">
        <f>IF(J473="","",M473/L473)</f>
        <v/>
      </c>
      <c r="P473" s="9" t="str">
        <f>IF(O473="","",(O473/(N473)*365))</f>
        <v/>
      </c>
      <c r="Q473" s="10"/>
    </row>
    <row r="474" spans="1:17" x14ac:dyDescent="0.15">
      <c r="A474" s="21"/>
      <c r="B474" s="20"/>
      <c r="C474" s="20"/>
      <c r="D474" s="20"/>
      <c r="E474" s="20"/>
      <c r="F474" s="21"/>
      <c r="G474" s="22"/>
      <c r="H474" s="11"/>
      <c r="I474" s="15"/>
      <c r="J474" s="15"/>
      <c r="K474" s="14"/>
      <c r="L474" s="22"/>
      <c r="M474" s="32" t="str">
        <f t="shared" si="9"/>
        <v/>
      </c>
      <c r="N474" s="16" t="str">
        <f t="shared" si="10"/>
        <v/>
      </c>
      <c r="O474" s="17" t="str">
        <f>IF(J474="","",M474/L474)</f>
        <v/>
      </c>
      <c r="P474" s="18" t="str">
        <f>IF(O474="","",(O474/(N474)*365))</f>
        <v/>
      </c>
      <c r="Q474" s="19"/>
    </row>
    <row r="475" spans="1:17" x14ac:dyDescent="0.15">
      <c r="A475" s="23"/>
      <c r="B475" s="3"/>
      <c r="C475" s="3"/>
      <c r="D475" s="3"/>
      <c r="E475" s="3"/>
      <c r="F475" s="23"/>
      <c r="G475" s="24"/>
      <c r="H475" s="1"/>
      <c r="I475" s="6"/>
      <c r="J475" s="6"/>
      <c r="K475" s="5"/>
      <c r="L475" s="24"/>
      <c r="M475" s="31" t="str">
        <f t="shared" si="9"/>
        <v/>
      </c>
      <c r="N475" s="7" t="str">
        <f t="shared" si="10"/>
        <v/>
      </c>
      <c r="O475" s="8" t="str">
        <f>IF(J475="","",M475/L475)</f>
        <v/>
      </c>
      <c r="P475" s="9" t="str">
        <f>IF(O475="","",(O475/(N475)*365))</f>
        <v/>
      </c>
      <c r="Q475" s="10"/>
    </row>
    <row r="476" spans="1:17" x14ac:dyDescent="0.15">
      <c r="A476" s="21"/>
      <c r="B476" s="20"/>
      <c r="C476" s="20"/>
      <c r="D476" s="20"/>
      <c r="E476" s="20"/>
      <c r="F476" s="21"/>
      <c r="G476" s="22"/>
      <c r="H476" s="11"/>
      <c r="I476" s="15"/>
      <c r="J476" s="15"/>
      <c r="K476" s="14"/>
      <c r="L476" s="22"/>
      <c r="M476" s="32" t="str">
        <f t="shared" si="9"/>
        <v/>
      </c>
      <c r="N476" s="16" t="str">
        <f t="shared" si="10"/>
        <v/>
      </c>
      <c r="O476" s="17" t="str">
        <f>IF(J476="","",M476/L476)</f>
        <v/>
      </c>
      <c r="P476" s="18" t="str">
        <f>IF(O476="","",(O476/(N476)*365))</f>
        <v/>
      </c>
      <c r="Q476" s="19"/>
    </row>
    <row r="477" spans="1:17" x14ac:dyDescent="0.15">
      <c r="A477" s="23"/>
      <c r="B477" s="3"/>
      <c r="C477" s="3"/>
      <c r="D477" s="3"/>
      <c r="E477" s="3"/>
      <c r="F477" s="23"/>
      <c r="G477" s="24"/>
      <c r="H477" s="1"/>
      <c r="I477" s="6"/>
      <c r="J477" s="6"/>
      <c r="K477" s="5"/>
      <c r="L477" s="24"/>
      <c r="M477" s="31" t="str">
        <f t="shared" si="9"/>
        <v/>
      </c>
      <c r="N477" s="7" t="str">
        <f t="shared" si="10"/>
        <v/>
      </c>
      <c r="O477" s="8" t="str">
        <f>IF(J477="","",M477/L477)</f>
        <v/>
      </c>
      <c r="P477" s="9" t="str">
        <f>IF(O477="","",(O477/(N477)*365))</f>
        <v/>
      </c>
      <c r="Q477" s="10"/>
    </row>
    <row r="478" spans="1:17" x14ac:dyDescent="0.15">
      <c r="A478" s="21"/>
      <c r="B478" s="20"/>
      <c r="C478" s="20"/>
      <c r="D478" s="20"/>
      <c r="E478" s="20"/>
      <c r="F478" s="21"/>
      <c r="G478" s="22"/>
      <c r="H478" s="11"/>
      <c r="I478" s="15"/>
      <c r="J478" s="15"/>
      <c r="K478" s="14"/>
      <c r="L478" s="22"/>
      <c r="M478" s="32" t="str">
        <f t="shared" si="9"/>
        <v/>
      </c>
      <c r="N478" s="16" t="str">
        <f t="shared" si="10"/>
        <v/>
      </c>
      <c r="O478" s="17" t="str">
        <f>IF(J478="","",M478/L478)</f>
        <v/>
      </c>
      <c r="P478" s="18" t="str">
        <f>IF(O478="","",(O478/(N478)*365))</f>
        <v/>
      </c>
      <c r="Q478" s="19"/>
    </row>
    <row r="479" spans="1:17" x14ac:dyDescent="0.15">
      <c r="A479" s="23"/>
      <c r="B479" s="3"/>
      <c r="C479" s="3"/>
      <c r="D479" s="3"/>
      <c r="E479" s="3"/>
      <c r="F479" s="23"/>
      <c r="G479" s="24"/>
      <c r="H479" s="1"/>
      <c r="I479" s="6"/>
      <c r="J479" s="6"/>
      <c r="K479" s="5"/>
      <c r="L479" s="24"/>
      <c r="M479" s="31" t="str">
        <f t="shared" si="9"/>
        <v/>
      </c>
      <c r="N479" s="7" t="str">
        <f t="shared" si="10"/>
        <v/>
      </c>
      <c r="O479" s="8" t="str">
        <f>IF(J479="","",M479/L479)</f>
        <v/>
      </c>
      <c r="P479" s="9" t="str">
        <f>IF(O479="","",(O479/(N479)*365))</f>
        <v/>
      </c>
      <c r="Q479" s="10"/>
    </row>
    <row r="480" spans="1:17" x14ac:dyDescent="0.15">
      <c r="A480" s="21"/>
      <c r="B480" s="20"/>
      <c r="C480" s="20"/>
      <c r="D480" s="20"/>
      <c r="E480" s="20"/>
      <c r="F480" s="21"/>
      <c r="G480" s="22"/>
      <c r="H480" s="11"/>
      <c r="I480" s="15"/>
      <c r="J480" s="15"/>
      <c r="K480" s="14"/>
      <c r="L480" s="22"/>
      <c r="M480" s="32" t="str">
        <f t="shared" si="9"/>
        <v/>
      </c>
      <c r="N480" s="16" t="str">
        <f t="shared" si="10"/>
        <v/>
      </c>
      <c r="O480" s="17" t="str">
        <f>IF(J480="","",M480/L480)</f>
        <v/>
      </c>
      <c r="P480" s="18" t="str">
        <f>IF(O480="","",(O480/(N480)*365))</f>
        <v/>
      </c>
      <c r="Q480" s="19"/>
    </row>
    <row r="481" spans="1:17" x14ac:dyDescent="0.15">
      <c r="A481" s="23"/>
      <c r="B481" s="3"/>
      <c r="C481" s="3"/>
      <c r="D481" s="3"/>
      <c r="E481" s="3"/>
      <c r="F481" s="23"/>
      <c r="G481" s="24"/>
      <c r="H481" s="1"/>
      <c r="I481" s="6"/>
      <c r="J481" s="6"/>
      <c r="K481" s="5"/>
      <c r="L481" s="24"/>
      <c r="M481" s="31" t="str">
        <f t="shared" si="9"/>
        <v/>
      </c>
      <c r="N481" s="7" t="str">
        <f t="shared" si="10"/>
        <v/>
      </c>
      <c r="O481" s="8" t="str">
        <f>IF(J481="","",M481/L481)</f>
        <v/>
      </c>
      <c r="P481" s="9" t="str">
        <f>IF(O481="","",(O481/(N481)*365))</f>
        <v/>
      </c>
      <c r="Q481" s="10"/>
    </row>
    <row r="482" spans="1:17" x14ac:dyDescent="0.15">
      <c r="A482" s="21"/>
      <c r="B482" s="20"/>
      <c r="C482" s="20"/>
      <c r="D482" s="20"/>
      <c r="E482" s="20"/>
      <c r="F482" s="21"/>
      <c r="G482" s="22"/>
      <c r="H482" s="11"/>
      <c r="I482" s="15"/>
      <c r="J482" s="15"/>
      <c r="K482" s="14"/>
      <c r="L482" s="22"/>
      <c r="M482" s="32" t="str">
        <f t="shared" si="9"/>
        <v/>
      </c>
      <c r="N482" s="16" t="str">
        <f t="shared" si="10"/>
        <v/>
      </c>
      <c r="O482" s="17" t="str">
        <f>IF(J482="","",M482/L482)</f>
        <v/>
      </c>
      <c r="P482" s="18" t="str">
        <f>IF(O482="","",(O482/(N482)*365))</f>
        <v/>
      </c>
      <c r="Q482" s="19"/>
    </row>
    <row r="483" spans="1:17" x14ac:dyDescent="0.15">
      <c r="A483" s="23"/>
      <c r="B483" s="3"/>
      <c r="C483" s="3"/>
      <c r="D483" s="3"/>
      <c r="E483" s="3"/>
      <c r="F483" s="23"/>
      <c r="G483" s="24"/>
      <c r="H483" s="1"/>
      <c r="I483" s="6"/>
      <c r="J483" s="6"/>
      <c r="K483" s="5"/>
      <c r="L483" s="24"/>
      <c r="M483" s="31" t="str">
        <f t="shared" si="9"/>
        <v/>
      </c>
      <c r="N483" s="7" t="str">
        <f t="shared" si="10"/>
        <v/>
      </c>
      <c r="O483" s="8" t="str">
        <f>IF(J483="","",M483/L483)</f>
        <v/>
      </c>
      <c r="P483" s="9" t="str">
        <f>IF(O483="","",(O483/(N483)*365))</f>
        <v/>
      </c>
      <c r="Q483" s="10"/>
    </row>
    <row r="484" spans="1:17" x14ac:dyDescent="0.15">
      <c r="A484" s="21"/>
      <c r="B484" s="20"/>
      <c r="C484" s="20"/>
      <c r="D484" s="20"/>
      <c r="E484" s="20"/>
      <c r="F484" s="21"/>
      <c r="G484" s="22"/>
      <c r="H484" s="11"/>
      <c r="I484" s="15"/>
      <c r="J484" s="15"/>
      <c r="K484" s="14"/>
      <c r="L484" s="22"/>
      <c r="M484" s="32" t="str">
        <f t="shared" si="9"/>
        <v/>
      </c>
      <c r="N484" s="16" t="str">
        <f t="shared" si="10"/>
        <v/>
      </c>
      <c r="O484" s="17" t="str">
        <f>IF(J484="","",M484/L484)</f>
        <v/>
      </c>
      <c r="P484" s="18" t="str">
        <f>IF(O484="","",(O484/(N484)*365))</f>
        <v/>
      </c>
      <c r="Q484" s="19"/>
    </row>
    <row r="485" spans="1:17" x14ac:dyDescent="0.15">
      <c r="A485" s="23"/>
      <c r="B485" s="3"/>
      <c r="C485" s="3"/>
      <c r="D485" s="3"/>
      <c r="E485" s="3"/>
      <c r="F485" s="23"/>
      <c r="G485" s="24"/>
      <c r="H485" s="1"/>
      <c r="I485" s="6"/>
      <c r="J485" s="6"/>
      <c r="K485" s="5"/>
      <c r="L485" s="24"/>
      <c r="M485" s="31" t="str">
        <f t="shared" si="9"/>
        <v/>
      </c>
      <c r="N485" s="7" t="str">
        <f t="shared" si="10"/>
        <v/>
      </c>
      <c r="O485" s="8" t="str">
        <f>IF(J485="","",M485/L485)</f>
        <v/>
      </c>
      <c r="P485" s="9" t="str">
        <f>IF(O485="","",(O485/(N485)*365))</f>
        <v/>
      </c>
      <c r="Q485" s="10"/>
    </row>
    <row r="486" spans="1:17" x14ac:dyDescent="0.15">
      <c r="A486" s="21"/>
      <c r="B486" s="20"/>
      <c r="C486" s="20"/>
      <c r="D486" s="20"/>
      <c r="E486" s="20"/>
      <c r="F486" s="21"/>
      <c r="G486" s="22"/>
      <c r="H486" s="11"/>
      <c r="I486" s="15"/>
      <c r="J486" s="15"/>
      <c r="K486" s="14"/>
      <c r="L486" s="22"/>
      <c r="M486" s="32" t="str">
        <f t="shared" si="9"/>
        <v/>
      </c>
      <c r="N486" s="16" t="str">
        <f t="shared" si="10"/>
        <v/>
      </c>
      <c r="O486" s="17" t="str">
        <f>IF(J486="","",M486/L486)</f>
        <v/>
      </c>
      <c r="P486" s="18" t="str">
        <f>IF(O486="","",(O486/(N486)*365))</f>
        <v/>
      </c>
      <c r="Q486" s="19"/>
    </row>
    <row r="487" spans="1:17" x14ac:dyDescent="0.15">
      <c r="A487" s="23"/>
      <c r="B487" s="3"/>
      <c r="C487" s="3"/>
      <c r="D487" s="3"/>
      <c r="E487" s="3"/>
      <c r="F487" s="23"/>
      <c r="G487" s="24"/>
      <c r="H487" s="1"/>
      <c r="I487" s="6"/>
      <c r="J487" s="6"/>
      <c r="K487" s="5"/>
      <c r="L487" s="24"/>
      <c r="M487" s="31" t="str">
        <f t="shared" si="9"/>
        <v/>
      </c>
      <c r="N487" s="7" t="str">
        <f t="shared" si="10"/>
        <v/>
      </c>
      <c r="O487" s="8" t="str">
        <f>IF(J487="","",M487/L487)</f>
        <v/>
      </c>
      <c r="P487" s="9" t="str">
        <f>IF(O487="","",(O487/(N487)*365))</f>
        <v/>
      </c>
      <c r="Q487" s="10"/>
    </row>
    <row r="488" spans="1:17" x14ac:dyDescent="0.15">
      <c r="A488" s="21"/>
      <c r="B488" s="20"/>
      <c r="C488" s="20"/>
      <c r="D488" s="20"/>
      <c r="E488" s="20"/>
      <c r="F488" s="21"/>
      <c r="G488" s="22"/>
      <c r="H488" s="11"/>
      <c r="I488" s="15"/>
      <c r="J488" s="15"/>
      <c r="K488" s="14"/>
      <c r="L488" s="22"/>
      <c r="M488" s="32" t="str">
        <f t="shared" si="9"/>
        <v/>
      </c>
      <c r="N488" s="16" t="str">
        <f t="shared" si="10"/>
        <v/>
      </c>
      <c r="O488" s="17" t="str">
        <f>IF(J488="","",M488/L488)</f>
        <v/>
      </c>
      <c r="P488" s="18" t="str">
        <f>IF(O488="","",(O488/(N488)*365))</f>
        <v/>
      </c>
      <c r="Q488" s="19"/>
    </row>
    <row r="489" spans="1:17" x14ac:dyDescent="0.15">
      <c r="A489" s="23"/>
      <c r="B489" s="3"/>
      <c r="C489" s="3"/>
      <c r="D489" s="3"/>
      <c r="E489" s="3"/>
      <c r="F489" s="23"/>
      <c r="G489" s="24"/>
      <c r="H489" s="1"/>
      <c r="I489" s="6"/>
      <c r="J489" s="6"/>
      <c r="K489" s="5"/>
      <c r="L489" s="24"/>
      <c r="M489" s="31" t="str">
        <f t="shared" si="9"/>
        <v/>
      </c>
      <c r="N489" s="7" t="str">
        <f t="shared" si="10"/>
        <v/>
      </c>
      <c r="O489" s="8" t="str">
        <f>IF(J489="","",M489/L489)</f>
        <v/>
      </c>
      <c r="P489" s="9" t="str">
        <f>IF(O489="","",(O489/(N489)*365))</f>
        <v/>
      </c>
      <c r="Q489" s="10"/>
    </row>
    <row r="490" spans="1:17" x14ac:dyDescent="0.15">
      <c r="A490" s="21"/>
      <c r="B490" s="20"/>
      <c r="C490" s="20"/>
      <c r="D490" s="20"/>
      <c r="E490" s="20"/>
      <c r="F490" s="21"/>
      <c r="G490" s="22"/>
      <c r="H490" s="11"/>
      <c r="I490" s="15"/>
      <c r="J490" s="15"/>
      <c r="K490" s="14"/>
      <c r="L490" s="22"/>
      <c r="M490" s="32" t="str">
        <f t="shared" si="9"/>
        <v/>
      </c>
      <c r="N490" s="16" t="str">
        <f t="shared" si="10"/>
        <v/>
      </c>
      <c r="O490" s="17" t="str">
        <f>IF(J490="","",M490/L490)</f>
        <v/>
      </c>
      <c r="P490" s="18" t="str">
        <f>IF(O490="","",(O490/(N490)*365))</f>
        <v/>
      </c>
      <c r="Q490" s="19"/>
    </row>
    <row r="491" spans="1:17" x14ac:dyDescent="0.15">
      <c r="A491" s="23"/>
      <c r="B491" s="3"/>
      <c r="C491" s="3"/>
      <c r="D491" s="3"/>
      <c r="E491" s="3"/>
      <c r="F491" s="23"/>
      <c r="G491" s="24"/>
      <c r="H491" s="1"/>
      <c r="I491" s="6"/>
      <c r="J491" s="6"/>
      <c r="K491" s="5"/>
      <c r="L491" s="24"/>
      <c r="M491" s="31" t="str">
        <f t="shared" si="9"/>
        <v/>
      </c>
      <c r="N491" s="7" t="str">
        <f t="shared" si="10"/>
        <v/>
      </c>
      <c r="O491" s="8" t="str">
        <f>IF(J491="","",M491/L491)</f>
        <v/>
      </c>
      <c r="P491" s="9" t="str">
        <f>IF(O491="","",(O491/(N491)*365))</f>
        <v/>
      </c>
      <c r="Q491" s="10"/>
    </row>
    <row r="492" spans="1:17" x14ac:dyDescent="0.15">
      <c r="A492" s="21"/>
      <c r="B492" s="20"/>
      <c r="C492" s="20"/>
      <c r="D492" s="20"/>
      <c r="E492" s="20"/>
      <c r="F492" s="21"/>
      <c r="G492" s="22"/>
      <c r="H492" s="11"/>
      <c r="I492" s="15"/>
      <c r="J492" s="15"/>
      <c r="K492" s="14"/>
      <c r="L492" s="22"/>
      <c r="M492" s="32" t="str">
        <f t="shared" si="9"/>
        <v/>
      </c>
      <c r="N492" s="16" t="str">
        <f t="shared" si="10"/>
        <v/>
      </c>
      <c r="O492" s="17" t="str">
        <f>IF(J492="","",M492/L492)</f>
        <v/>
      </c>
      <c r="P492" s="18" t="str">
        <f>IF(O492="","",(O492/(N492)*365))</f>
        <v/>
      </c>
      <c r="Q492" s="19"/>
    </row>
    <row r="493" spans="1:17" x14ac:dyDescent="0.15">
      <c r="A493" s="23"/>
      <c r="B493" s="3"/>
      <c r="C493" s="3"/>
      <c r="D493" s="3"/>
      <c r="E493" s="3"/>
      <c r="F493" s="23"/>
      <c r="G493" s="24"/>
      <c r="H493" s="1"/>
      <c r="I493" s="6"/>
      <c r="J493" s="6"/>
      <c r="K493" s="5"/>
      <c r="L493" s="24"/>
      <c r="M493" s="31" t="str">
        <f t="shared" si="9"/>
        <v/>
      </c>
      <c r="N493" s="7" t="str">
        <f t="shared" si="10"/>
        <v/>
      </c>
      <c r="O493" s="8" t="str">
        <f>IF(J493="","",M493/L493)</f>
        <v/>
      </c>
      <c r="P493" s="9" t="str">
        <f>IF(O493="","",(O493/(N493)*365))</f>
        <v/>
      </c>
      <c r="Q493" s="10"/>
    </row>
    <row r="494" spans="1:17" x14ac:dyDescent="0.15">
      <c r="A494" s="21"/>
      <c r="B494" s="20"/>
      <c r="C494" s="20"/>
      <c r="D494" s="20"/>
      <c r="E494" s="20"/>
      <c r="F494" s="21"/>
      <c r="G494" s="22"/>
      <c r="H494" s="11"/>
      <c r="I494" s="15"/>
      <c r="J494" s="15"/>
      <c r="K494" s="14"/>
      <c r="L494" s="22"/>
      <c r="M494" s="32" t="str">
        <f t="shared" si="9"/>
        <v/>
      </c>
      <c r="N494" s="16" t="str">
        <f t="shared" si="10"/>
        <v/>
      </c>
      <c r="O494" s="17" t="str">
        <f>IF(J494="","",M494/L494)</f>
        <v/>
      </c>
      <c r="P494" s="18" t="str">
        <f>IF(O494="","",(O494/(N494)*365))</f>
        <v/>
      </c>
      <c r="Q494" s="19"/>
    </row>
    <row r="495" spans="1:17" x14ac:dyDescent="0.15">
      <c r="A495" s="23"/>
      <c r="B495" s="3"/>
      <c r="C495" s="3"/>
      <c r="D495" s="3"/>
      <c r="E495" s="3"/>
      <c r="F495" s="23"/>
      <c r="G495" s="24"/>
      <c r="H495" s="1"/>
      <c r="I495" s="6"/>
      <c r="J495" s="6"/>
      <c r="K495" s="5"/>
      <c r="L495" s="24"/>
      <c r="M495" s="31" t="str">
        <f t="shared" si="9"/>
        <v/>
      </c>
      <c r="N495" s="7" t="str">
        <f t="shared" si="10"/>
        <v/>
      </c>
      <c r="O495" s="8" t="str">
        <f>IF(J495="","",M495/L495)</f>
        <v/>
      </c>
      <c r="P495" s="9" t="str">
        <f>IF(O495="","",(O495/(N495)*365))</f>
        <v/>
      </c>
      <c r="Q495" s="10"/>
    </row>
    <row r="496" spans="1:17" x14ac:dyDescent="0.15">
      <c r="A496" s="21"/>
      <c r="B496" s="20"/>
      <c r="C496" s="20"/>
      <c r="D496" s="20"/>
      <c r="E496" s="20"/>
      <c r="F496" s="21"/>
      <c r="G496" s="22"/>
      <c r="H496" s="11"/>
      <c r="I496" s="15"/>
      <c r="J496" s="15"/>
      <c r="K496" s="14"/>
      <c r="L496" s="22"/>
      <c r="M496" s="32" t="str">
        <f t="shared" si="9"/>
        <v/>
      </c>
      <c r="N496" s="16" t="str">
        <f t="shared" si="10"/>
        <v/>
      </c>
      <c r="O496" s="17" t="str">
        <f>IF(J496="","",M496/L496)</f>
        <v/>
      </c>
      <c r="P496" s="18" t="str">
        <f>IF(O496="","",(O496/(N496)*365))</f>
        <v/>
      </c>
      <c r="Q496" s="19"/>
    </row>
    <row r="497" spans="1:17" x14ac:dyDescent="0.15">
      <c r="A497" s="23"/>
      <c r="B497" s="3"/>
      <c r="C497" s="3"/>
      <c r="D497" s="3"/>
      <c r="E497" s="3"/>
      <c r="F497" s="23"/>
      <c r="G497" s="24"/>
      <c r="H497" s="1"/>
      <c r="I497" s="6"/>
      <c r="J497" s="6"/>
      <c r="K497" s="5"/>
      <c r="L497" s="24"/>
      <c r="M497" s="31" t="str">
        <f t="shared" si="9"/>
        <v/>
      </c>
      <c r="N497" s="7" t="str">
        <f t="shared" si="10"/>
        <v/>
      </c>
      <c r="O497" s="8" t="str">
        <f>IF(J497="","",M497/L497)</f>
        <v/>
      </c>
      <c r="P497" s="9" t="str">
        <f>IF(O497="","",(O497/(N497)*365))</f>
        <v/>
      </c>
      <c r="Q497" s="10"/>
    </row>
    <row r="498" spans="1:17" x14ac:dyDescent="0.15">
      <c r="A498" s="21"/>
      <c r="B498" s="20"/>
      <c r="C498" s="20"/>
      <c r="D498" s="20"/>
      <c r="E498" s="20"/>
      <c r="F498" s="21"/>
      <c r="G498" s="22"/>
      <c r="H498" s="11"/>
      <c r="I498" s="15"/>
      <c r="J498" s="15"/>
      <c r="K498" s="14"/>
      <c r="L498" s="22"/>
      <c r="M498" s="32" t="str">
        <f t="shared" si="9"/>
        <v/>
      </c>
      <c r="N498" s="16" t="str">
        <f t="shared" si="10"/>
        <v/>
      </c>
      <c r="O498" s="17" t="str">
        <f>IF(J498="","",M498/L498)</f>
        <v/>
      </c>
      <c r="P498" s="18" t="str">
        <f>IF(O498="","",(O498/(N498)*365))</f>
        <v/>
      </c>
      <c r="Q498" s="19"/>
    </row>
    <row r="499" spans="1:17" x14ac:dyDescent="0.15">
      <c r="A499" s="23"/>
      <c r="B499" s="3"/>
      <c r="C499" s="3"/>
      <c r="D499" s="3"/>
      <c r="E499" s="3"/>
      <c r="F499" s="23"/>
      <c r="G499" s="24"/>
      <c r="H499" s="1"/>
      <c r="I499" s="6"/>
      <c r="J499" s="6"/>
      <c r="K499" s="5"/>
      <c r="L499" s="24"/>
      <c r="M499" s="31" t="str">
        <f t="shared" si="9"/>
        <v/>
      </c>
      <c r="N499" s="7" t="str">
        <f t="shared" si="10"/>
        <v/>
      </c>
      <c r="O499" s="8" t="str">
        <f>IF(J499="","",M499/L499)</f>
        <v/>
      </c>
      <c r="P499" s="9" t="str">
        <f>IF(O499="","",(O499/(N499)*365))</f>
        <v/>
      </c>
      <c r="Q499" s="10"/>
    </row>
    <row r="500" spans="1:17" x14ac:dyDescent="0.15">
      <c r="A500" s="21"/>
      <c r="B500" s="20"/>
      <c r="C500" s="20"/>
      <c r="D500" s="20"/>
      <c r="E500" s="20"/>
      <c r="F500" s="21"/>
      <c r="G500" s="22"/>
      <c r="H500" s="11"/>
      <c r="I500" s="15"/>
      <c r="J500" s="15"/>
      <c r="K500" s="14"/>
      <c r="L500" s="22"/>
      <c r="M500" s="32" t="str">
        <f t="shared" si="9"/>
        <v/>
      </c>
      <c r="N500" s="16" t="str">
        <f t="shared" si="10"/>
        <v/>
      </c>
      <c r="O500" s="17" t="str">
        <f>IF(J500="","",M500/L500)</f>
        <v/>
      </c>
      <c r="P500" s="18" t="str">
        <f>IF(O500="","",(O500/(N500)*365))</f>
        <v/>
      </c>
      <c r="Q500" s="19"/>
    </row>
    <row r="501" spans="1:17" x14ac:dyDescent="0.15">
      <c r="A501" s="23"/>
      <c r="B501" s="3"/>
      <c r="C501" s="3"/>
      <c r="D501" s="3"/>
      <c r="E501" s="3"/>
      <c r="F501" s="23"/>
      <c r="G501" s="24"/>
      <c r="H501" s="1"/>
      <c r="I501" s="6"/>
      <c r="J501" s="6"/>
      <c r="K501" s="5"/>
      <c r="L501" s="24"/>
      <c r="M501" s="31" t="str">
        <f t="shared" si="9"/>
        <v/>
      </c>
      <c r="N501" s="7" t="str">
        <f t="shared" si="10"/>
        <v/>
      </c>
      <c r="O501" s="8" t="str">
        <f>IF(J501="","",M501/L501)</f>
        <v/>
      </c>
      <c r="P501" s="9" t="str">
        <f>IF(O501="","",(O501/(N501)*365))</f>
        <v/>
      </c>
      <c r="Q501" s="10"/>
    </row>
    <row r="502" spans="1:17" x14ac:dyDescent="0.15">
      <c r="A502" s="21"/>
      <c r="B502" s="20"/>
      <c r="C502" s="20"/>
      <c r="D502" s="20"/>
      <c r="E502" s="20"/>
      <c r="F502" s="21"/>
      <c r="G502" s="22"/>
      <c r="H502" s="11"/>
      <c r="I502" s="15"/>
      <c r="J502" s="15"/>
      <c r="K502" s="14"/>
      <c r="L502" s="22"/>
      <c r="M502" s="32" t="str">
        <f t="shared" si="9"/>
        <v/>
      </c>
      <c r="N502" s="16" t="str">
        <f t="shared" si="10"/>
        <v/>
      </c>
      <c r="O502" s="17" t="str">
        <f>IF(J502="","",M502/L502)</f>
        <v/>
      </c>
      <c r="P502" s="18" t="str">
        <f>IF(O502="","",(O502/(N502)*365))</f>
        <v/>
      </c>
      <c r="Q502" s="19"/>
    </row>
    <row r="503" spans="1:17" x14ac:dyDescent="0.15">
      <c r="A503" s="23"/>
      <c r="B503" s="3"/>
      <c r="C503" s="3"/>
      <c r="D503" s="3"/>
      <c r="E503" s="3"/>
      <c r="F503" s="23"/>
      <c r="G503" s="24"/>
      <c r="H503" s="1"/>
      <c r="I503" s="6"/>
      <c r="J503" s="6"/>
      <c r="K503" s="5"/>
      <c r="L503" s="24"/>
      <c r="M503" s="31" t="str">
        <f t="shared" si="9"/>
        <v/>
      </c>
      <c r="N503" s="7" t="str">
        <f t="shared" si="10"/>
        <v/>
      </c>
      <c r="O503" s="8" t="str">
        <f>IF(J503="","",M503/L503)</f>
        <v/>
      </c>
      <c r="P503" s="9" t="str">
        <f>IF(O503="","",(O503/(N503)*365))</f>
        <v/>
      </c>
      <c r="Q503" s="10"/>
    </row>
    <row r="504" spans="1:17" x14ac:dyDescent="0.15">
      <c r="A504" s="21"/>
      <c r="B504" s="20"/>
      <c r="C504" s="20"/>
      <c r="D504" s="20"/>
      <c r="E504" s="20"/>
      <c r="F504" s="21"/>
      <c r="G504" s="22"/>
      <c r="H504" s="11"/>
      <c r="I504" s="15"/>
      <c r="J504" s="15"/>
      <c r="K504" s="14"/>
      <c r="L504" s="22"/>
      <c r="M504" s="32" t="str">
        <f t="shared" si="9"/>
        <v/>
      </c>
      <c r="N504" s="16" t="str">
        <f t="shared" si="10"/>
        <v/>
      </c>
      <c r="O504" s="17" t="str">
        <f>IF(J504="","",M504/L504)</f>
        <v/>
      </c>
      <c r="P504" s="18" t="str">
        <f>IF(O504="","",(O504/(N504)*365))</f>
        <v/>
      </c>
      <c r="Q504" s="19"/>
    </row>
    <row r="505" spans="1:17" x14ac:dyDescent="0.15">
      <c r="A505" s="23"/>
      <c r="B505" s="3"/>
      <c r="C505" s="3"/>
      <c r="D505" s="3"/>
      <c r="E505" s="3"/>
      <c r="F505" s="23"/>
      <c r="G505" s="24"/>
      <c r="H505" s="1"/>
      <c r="I505" s="6"/>
      <c r="J505" s="6"/>
      <c r="K505" s="5"/>
      <c r="L505" s="24"/>
      <c r="M505" s="31" t="str">
        <f t="shared" si="9"/>
        <v/>
      </c>
      <c r="N505" s="7" t="str">
        <f t="shared" si="10"/>
        <v/>
      </c>
      <c r="O505" s="8" t="str">
        <f>IF(J505="","",M505/L505)</f>
        <v/>
      </c>
      <c r="P505" s="9" t="str">
        <f>IF(O505="","",(O505/(N505)*365))</f>
        <v/>
      </c>
      <c r="Q505" s="10"/>
    </row>
    <row r="506" spans="1:17" x14ac:dyDescent="0.15">
      <c r="A506" s="21"/>
      <c r="B506" s="20"/>
      <c r="C506" s="20"/>
      <c r="D506" s="20"/>
      <c r="E506" s="20"/>
      <c r="F506" s="21"/>
      <c r="G506" s="22"/>
      <c r="H506" s="11"/>
      <c r="I506" s="15"/>
      <c r="J506" s="15"/>
      <c r="K506" s="14"/>
      <c r="L506" s="22"/>
      <c r="M506" s="32" t="str">
        <f t="shared" si="9"/>
        <v/>
      </c>
      <c r="N506" s="16" t="str">
        <f t="shared" si="10"/>
        <v/>
      </c>
      <c r="O506" s="17" t="str">
        <f>IF(J506="","",M506/L506)</f>
        <v/>
      </c>
      <c r="P506" s="18" t="str">
        <f>IF(O506="","",(O506/(N506)*365))</f>
        <v/>
      </c>
      <c r="Q506" s="19"/>
    </row>
    <row r="507" spans="1:17" x14ac:dyDescent="0.15">
      <c r="A507" s="23"/>
      <c r="B507" s="3"/>
      <c r="C507" s="3"/>
      <c r="D507" s="3"/>
      <c r="E507" s="3"/>
      <c r="F507" s="23"/>
      <c r="G507" s="24"/>
      <c r="H507" s="1"/>
      <c r="I507" s="6"/>
      <c r="J507" s="6"/>
      <c r="K507" s="5"/>
      <c r="L507" s="24"/>
      <c r="M507" s="31" t="str">
        <f t="shared" si="9"/>
        <v/>
      </c>
      <c r="N507" s="7" t="str">
        <f t="shared" si="10"/>
        <v/>
      </c>
      <c r="O507" s="8" t="str">
        <f>IF(J507="","",M507/L507)</f>
        <v/>
      </c>
      <c r="P507" s="9" t="str">
        <f>IF(O507="","",(O507/(N507)*365))</f>
        <v/>
      </c>
      <c r="Q507" s="10"/>
    </row>
    <row r="508" spans="1:17" x14ac:dyDescent="0.15">
      <c r="A508" s="21"/>
      <c r="B508" s="20"/>
      <c r="C508" s="20"/>
      <c r="D508" s="20"/>
      <c r="E508" s="20"/>
      <c r="F508" s="21"/>
      <c r="G508" s="22"/>
      <c r="H508" s="11"/>
      <c r="I508" s="15"/>
      <c r="J508" s="15"/>
      <c r="K508" s="14"/>
      <c r="L508" s="22"/>
      <c r="M508" s="32" t="str">
        <f t="shared" si="9"/>
        <v/>
      </c>
      <c r="N508" s="16" t="str">
        <f t="shared" si="10"/>
        <v/>
      </c>
      <c r="O508" s="17" t="str">
        <f>IF(J508="","",M508/L508)</f>
        <v/>
      </c>
      <c r="P508" s="18" t="str">
        <f>IF(O508="","",(O508/(N508)*365))</f>
        <v/>
      </c>
      <c r="Q508" s="19"/>
    </row>
    <row r="509" spans="1:17" x14ac:dyDescent="0.15">
      <c r="A509" s="23"/>
      <c r="B509" s="3"/>
      <c r="C509" s="3"/>
      <c r="D509" s="3"/>
      <c r="E509" s="3"/>
      <c r="F509" s="23"/>
      <c r="G509" s="24"/>
      <c r="H509" s="1"/>
      <c r="I509" s="6"/>
      <c r="J509" s="6"/>
      <c r="K509" s="5"/>
      <c r="L509" s="24"/>
      <c r="M509" s="31" t="str">
        <f t="shared" si="9"/>
        <v/>
      </c>
      <c r="N509" s="7" t="str">
        <f t="shared" si="10"/>
        <v/>
      </c>
      <c r="O509" s="8" t="str">
        <f>IF(J509="","",M509/L509)</f>
        <v/>
      </c>
      <c r="P509" s="9" t="str">
        <f>IF(O509="","",(O509/(N509)*365))</f>
        <v/>
      </c>
      <c r="Q509" s="10"/>
    </row>
    <row r="510" spans="1:17" x14ac:dyDescent="0.15">
      <c r="A510" s="21"/>
      <c r="B510" s="20"/>
      <c r="C510" s="20"/>
      <c r="D510" s="20"/>
      <c r="E510" s="20"/>
      <c r="F510" s="21"/>
      <c r="G510" s="22"/>
      <c r="H510" s="11"/>
      <c r="I510" s="15"/>
      <c r="J510" s="15"/>
      <c r="K510" s="14"/>
      <c r="L510" s="22"/>
      <c r="M510" s="32" t="str">
        <f t="shared" si="9"/>
        <v/>
      </c>
      <c r="N510" s="16" t="str">
        <f t="shared" si="10"/>
        <v/>
      </c>
      <c r="O510" s="17" t="str">
        <f>IF(J510="","",M510/L510)</f>
        <v/>
      </c>
      <c r="P510" s="18" t="str">
        <f>IF(O510="","",(O510/(N510)*365))</f>
        <v/>
      </c>
      <c r="Q510" s="19"/>
    </row>
    <row r="511" spans="1:17" x14ac:dyDescent="0.15">
      <c r="A511" s="23"/>
      <c r="B511" s="3"/>
      <c r="C511" s="3"/>
      <c r="D511" s="3"/>
      <c r="E511" s="3"/>
      <c r="F511" s="23"/>
      <c r="G511" s="24"/>
      <c r="H511" s="1"/>
      <c r="I511" s="6"/>
      <c r="J511" s="6"/>
      <c r="K511" s="5"/>
      <c r="L511" s="24"/>
      <c r="M511" s="31" t="str">
        <f t="shared" si="9"/>
        <v/>
      </c>
      <c r="N511" s="7" t="str">
        <f t="shared" si="10"/>
        <v/>
      </c>
      <c r="O511" s="8" t="str">
        <f>IF(J511="","",M511/L511)</f>
        <v/>
      </c>
      <c r="P511" s="9" t="str">
        <f>IF(O511="","",(O511/(N511)*365))</f>
        <v/>
      </c>
      <c r="Q511" s="10"/>
    </row>
    <row r="512" spans="1:17" x14ac:dyDescent="0.15">
      <c r="A512" s="21"/>
      <c r="B512" s="20"/>
      <c r="C512" s="20"/>
      <c r="D512" s="20"/>
      <c r="E512" s="20"/>
      <c r="F512" s="21"/>
      <c r="G512" s="22"/>
      <c r="H512" s="11"/>
      <c r="I512" s="15"/>
      <c r="J512" s="15"/>
      <c r="K512" s="14"/>
      <c r="L512" s="22"/>
      <c r="M512" s="32" t="str">
        <f t="shared" si="9"/>
        <v/>
      </c>
      <c r="N512" s="16" t="str">
        <f t="shared" si="10"/>
        <v/>
      </c>
      <c r="O512" s="17" t="str">
        <f>IF(J512="","",M512/L512)</f>
        <v/>
      </c>
      <c r="P512" s="18" t="str">
        <f>IF(O512="","",(O512/(N512)*365))</f>
        <v/>
      </c>
      <c r="Q512" s="19"/>
    </row>
    <row r="513" spans="1:17" x14ac:dyDescent="0.15">
      <c r="A513" s="23"/>
      <c r="B513" s="3"/>
      <c r="C513" s="3"/>
      <c r="D513" s="3"/>
      <c r="E513" s="3"/>
      <c r="F513" s="23"/>
      <c r="G513" s="24"/>
      <c r="H513" s="1"/>
      <c r="I513" s="6"/>
      <c r="J513" s="6"/>
      <c r="K513" s="5"/>
      <c r="L513" s="24"/>
      <c r="M513" s="31" t="str">
        <f t="shared" si="9"/>
        <v/>
      </c>
      <c r="N513" s="7" t="str">
        <f t="shared" si="10"/>
        <v/>
      </c>
      <c r="O513" s="8" t="str">
        <f>IF(J513="","",M513/L513)</f>
        <v/>
      </c>
      <c r="P513" s="9" t="str">
        <f>IF(O513="","",(O513/(N513)*365))</f>
        <v/>
      </c>
      <c r="Q513" s="10"/>
    </row>
    <row r="514" spans="1:17" x14ac:dyDescent="0.15">
      <c r="A514" s="21"/>
      <c r="B514" s="20"/>
      <c r="C514" s="20"/>
      <c r="D514" s="20"/>
      <c r="E514" s="20"/>
      <c r="F514" s="21"/>
      <c r="G514" s="22"/>
      <c r="H514" s="11"/>
      <c r="I514" s="15"/>
      <c r="J514" s="15"/>
      <c r="K514" s="14"/>
      <c r="L514" s="22"/>
      <c r="M514" s="32" t="str">
        <f t="shared" si="9"/>
        <v/>
      </c>
      <c r="N514" s="16" t="str">
        <f t="shared" si="10"/>
        <v/>
      </c>
      <c r="O514" s="17" t="str">
        <f>IF(J514="","",M514/L514)</f>
        <v/>
      </c>
      <c r="P514" s="18" t="str">
        <f>IF(O514="","",(O514/(N514)*365))</f>
        <v/>
      </c>
      <c r="Q514" s="19"/>
    </row>
    <row r="515" spans="1:17" x14ac:dyDescent="0.15">
      <c r="A515" s="23"/>
      <c r="B515" s="3"/>
      <c r="C515" s="3"/>
      <c r="D515" s="3"/>
      <c r="E515" s="3"/>
      <c r="F515" s="23"/>
      <c r="G515" s="24"/>
      <c r="H515" s="1"/>
      <c r="I515" s="6"/>
      <c r="J515" s="6"/>
      <c r="K515" s="5"/>
      <c r="L515" s="24"/>
      <c r="M515" s="31" t="str">
        <f t="shared" ref="M515:M769" si="11">IF(J515="","",IF(A515="SELL",(I515-J515-K515/100)*H515*100, IF(A515="BUY",(J515-I515-K515/100)*H515*100, IF(A515="ASS",(J515-I515-K515/100)*H515*100,IF(A515="ASSIGNED",(J515-I515-K515/100)*H515*100, IF(A515="SDI",((J515-I515)*H515)-(K515), IF(A515="","")))))))</f>
        <v/>
      </c>
      <c r="N515" s="7" t="str">
        <f t="shared" ref="N515:N769" si="12">IF(D515="","",(IF(D515-B515&lt;1,"1",D515-B515)))</f>
        <v/>
      </c>
      <c r="O515" s="8" t="str">
        <f>IF(J515="","",M515/L515)</f>
        <v/>
      </c>
      <c r="P515" s="9" t="str">
        <f>IF(O515="","",(O515/(N515)*365))</f>
        <v/>
      </c>
      <c r="Q515" s="10"/>
    </row>
    <row r="516" spans="1:17" x14ac:dyDescent="0.15">
      <c r="A516" s="21"/>
      <c r="B516" s="20"/>
      <c r="C516" s="20"/>
      <c r="D516" s="20"/>
      <c r="E516" s="20"/>
      <c r="F516" s="21"/>
      <c r="G516" s="22"/>
      <c r="H516" s="11"/>
      <c r="I516" s="15"/>
      <c r="J516" s="15"/>
      <c r="K516" s="14"/>
      <c r="L516" s="22"/>
      <c r="M516" s="32" t="str">
        <f t="shared" si="11"/>
        <v/>
      </c>
      <c r="N516" s="16" t="str">
        <f t="shared" si="12"/>
        <v/>
      </c>
      <c r="O516" s="17" t="str">
        <f>IF(J516="","",M516/L516)</f>
        <v/>
      </c>
      <c r="P516" s="18" t="str">
        <f>IF(O516="","",(O516/(N516)*365))</f>
        <v/>
      </c>
      <c r="Q516" s="19"/>
    </row>
    <row r="517" spans="1:17" x14ac:dyDescent="0.15">
      <c r="A517" s="23"/>
      <c r="B517" s="3"/>
      <c r="C517" s="3"/>
      <c r="D517" s="3"/>
      <c r="E517" s="3"/>
      <c r="F517" s="23"/>
      <c r="G517" s="24"/>
      <c r="H517" s="1"/>
      <c r="I517" s="6"/>
      <c r="J517" s="6"/>
      <c r="K517" s="5"/>
      <c r="L517" s="24"/>
      <c r="M517" s="31" t="str">
        <f t="shared" si="11"/>
        <v/>
      </c>
      <c r="N517" s="7" t="str">
        <f t="shared" si="12"/>
        <v/>
      </c>
      <c r="O517" s="8" t="str">
        <f>IF(J517="","",M517/L517)</f>
        <v/>
      </c>
      <c r="P517" s="9" t="str">
        <f>IF(O517="","",(O517/(N517)*365))</f>
        <v/>
      </c>
      <c r="Q517" s="10"/>
    </row>
    <row r="518" spans="1:17" x14ac:dyDescent="0.15">
      <c r="A518" s="21"/>
      <c r="B518" s="20"/>
      <c r="C518" s="20"/>
      <c r="D518" s="20"/>
      <c r="E518" s="20"/>
      <c r="F518" s="21"/>
      <c r="G518" s="22"/>
      <c r="H518" s="11"/>
      <c r="I518" s="15"/>
      <c r="J518" s="15"/>
      <c r="K518" s="14"/>
      <c r="L518" s="22"/>
      <c r="M518" s="32" t="str">
        <f t="shared" si="11"/>
        <v/>
      </c>
      <c r="N518" s="16" t="str">
        <f t="shared" si="12"/>
        <v/>
      </c>
      <c r="O518" s="17" t="str">
        <f>IF(J518="","",M518/L518)</f>
        <v/>
      </c>
      <c r="P518" s="18" t="str">
        <f>IF(O518="","",(O518/(N518)*365))</f>
        <v/>
      </c>
      <c r="Q518" s="19"/>
    </row>
    <row r="519" spans="1:17" x14ac:dyDescent="0.15">
      <c r="A519" s="23"/>
      <c r="B519" s="3"/>
      <c r="C519" s="3"/>
      <c r="D519" s="3"/>
      <c r="E519" s="3"/>
      <c r="F519" s="23"/>
      <c r="G519" s="24"/>
      <c r="H519" s="1"/>
      <c r="I519" s="6"/>
      <c r="J519" s="6"/>
      <c r="K519" s="5"/>
      <c r="L519" s="24"/>
      <c r="M519" s="31" t="str">
        <f t="shared" si="11"/>
        <v/>
      </c>
      <c r="N519" s="7" t="str">
        <f t="shared" si="12"/>
        <v/>
      </c>
      <c r="O519" s="8" t="str">
        <f>IF(J519="","",M519/L519)</f>
        <v/>
      </c>
      <c r="P519" s="9" t="str">
        <f>IF(O519="","",(O519/(N519)*365))</f>
        <v/>
      </c>
      <c r="Q519" s="10"/>
    </row>
    <row r="520" spans="1:17" x14ac:dyDescent="0.15">
      <c r="A520" s="21"/>
      <c r="B520" s="20"/>
      <c r="C520" s="20"/>
      <c r="D520" s="20"/>
      <c r="E520" s="20"/>
      <c r="F520" s="21"/>
      <c r="G520" s="22"/>
      <c r="H520" s="11"/>
      <c r="I520" s="15"/>
      <c r="J520" s="15"/>
      <c r="K520" s="14"/>
      <c r="L520" s="22"/>
      <c r="M520" s="32" t="str">
        <f t="shared" si="11"/>
        <v/>
      </c>
      <c r="N520" s="16" t="str">
        <f t="shared" si="12"/>
        <v/>
      </c>
      <c r="O520" s="17" t="str">
        <f>IF(J520="","",M520/L520)</f>
        <v/>
      </c>
      <c r="P520" s="18" t="str">
        <f>IF(O520="","",(O520/(N520)*365))</f>
        <v/>
      </c>
      <c r="Q520" s="19"/>
    </row>
    <row r="521" spans="1:17" x14ac:dyDescent="0.15">
      <c r="A521" s="23"/>
      <c r="B521" s="3"/>
      <c r="C521" s="3"/>
      <c r="D521" s="3"/>
      <c r="E521" s="3"/>
      <c r="F521" s="23"/>
      <c r="G521" s="24"/>
      <c r="H521" s="1"/>
      <c r="I521" s="6"/>
      <c r="J521" s="6"/>
      <c r="K521" s="5"/>
      <c r="L521" s="24"/>
      <c r="M521" s="31" t="str">
        <f t="shared" si="11"/>
        <v/>
      </c>
      <c r="N521" s="7" t="str">
        <f t="shared" si="12"/>
        <v/>
      </c>
      <c r="O521" s="8" t="str">
        <f>IF(J521="","",M521/L521)</f>
        <v/>
      </c>
      <c r="P521" s="9" t="str">
        <f>IF(O521="","",(O521/(N521)*365))</f>
        <v/>
      </c>
      <c r="Q521" s="10"/>
    </row>
    <row r="522" spans="1:17" x14ac:dyDescent="0.15">
      <c r="A522" s="21"/>
      <c r="B522" s="20"/>
      <c r="C522" s="20"/>
      <c r="D522" s="20"/>
      <c r="E522" s="20"/>
      <c r="F522" s="21"/>
      <c r="G522" s="22"/>
      <c r="H522" s="11"/>
      <c r="I522" s="15"/>
      <c r="J522" s="15"/>
      <c r="K522" s="14"/>
      <c r="L522" s="22"/>
      <c r="M522" s="32" t="str">
        <f t="shared" si="11"/>
        <v/>
      </c>
      <c r="N522" s="16" t="str">
        <f t="shared" si="12"/>
        <v/>
      </c>
      <c r="O522" s="17" t="str">
        <f>IF(J522="","",M522/L522)</f>
        <v/>
      </c>
      <c r="P522" s="18" t="str">
        <f>IF(O522="","",(O522/(N522)*365))</f>
        <v/>
      </c>
      <c r="Q522" s="19"/>
    </row>
    <row r="523" spans="1:17" x14ac:dyDescent="0.15">
      <c r="A523" s="23"/>
      <c r="B523" s="3"/>
      <c r="C523" s="3"/>
      <c r="D523" s="3"/>
      <c r="E523" s="3"/>
      <c r="F523" s="23"/>
      <c r="G523" s="24"/>
      <c r="H523" s="1"/>
      <c r="I523" s="6"/>
      <c r="J523" s="6"/>
      <c r="K523" s="5"/>
      <c r="L523" s="24"/>
      <c r="M523" s="31" t="str">
        <f t="shared" si="11"/>
        <v/>
      </c>
      <c r="N523" s="7" t="str">
        <f t="shared" si="12"/>
        <v/>
      </c>
      <c r="O523" s="8" t="str">
        <f>IF(J523="","",M523/L523)</f>
        <v/>
      </c>
      <c r="P523" s="9" t="str">
        <f>IF(O523="","",(O523/(N523)*365))</f>
        <v/>
      </c>
      <c r="Q523" s="10"/>
    </row>
    <row r="524" spans="1:17" x14ac:dyDescent="0.15">
      <c r="A524" s="21"/>
      <c r="B524" s="20"/>
      <c r="C524" s="20"/>
      <c r="D524" s="20"/>
      <c r="E524" s="20"/>
      <c r="F524" s="21"/>
      <c r="G524" s="22"/>
      <c r="H524" s="11"/>
      <c r="I524" s="15"/>
      <c r="J524" s="15"/>
      <c r="K524" s="14"/>
      <c r="L524" s="22"/>
      <c r="M524" s="32" t="str">
        <f t="shared" si="11"/>
        <v/>
      </c>
      <c r="N524" s="16" t="str">
        <f t="shared" si="12"/>
        <v/>
      </c>
      <c r="O524" s="17" t="str">
        <f>IF(J524="","",M524/L524)</f>
        <v/>
      </c>
      <c r="P524" s="18" t="str">
        <f>IF(O524="","",(O524/(N524)*365))</f>
        <v/>
      </c>
      <c r="Q524" s="19"/>
    </row>
    <row r="525" spans="1:17" x14ac:dyDescent="0.15">
      <c r="A525" s="23"/>
      <c r="B525" s="3"/>
      <c r="C525" s="3"/>
      <c r="D525" s="3"/>
      <c r="E525" s="3"/>
      <c r="F525" s="23"/>
      <c r="G525" s="24"/>
      <c r="H525" s="1"/>
      <c r="I525" s="6"/>
      <c r="J525" s="6"/>
      <c r="K525" s="5"/>
      <c r="L525" s="24"/>
      <c r="M525" s="31" t="str">
        <f t="shared" si="11"/>
        <v/>
      </c>
      <c r="N525" s="7" t="str">
        <f t="shared" si="12"/>
        <v/>
      </c>
      <c r="O525" s="8" t="str">
        <f>IF(J525="","",M525/L525)</f>
        <v/>
      </c>
      <c r="P525" s="9" t="str">
        <f>IF(O525="","",(O525/(N525)*365))</f>
        <v/>
      </c>
      <c r="Q525" s="10"/>
    </row>
    <row r="526" spans="1:17" x14ac:dyDescent="0.15">
      <c r="A526" s="21"/>
      <c r="B526" s="20"/>
      <c r="C526" s="20"/>
      <c r="D526" s="20"/>
      <c r="E526" s="20"/>
      <c r="F526" s="21"/>
      <c r="G526" s="22"/>
      <c r="H526" s="11"/>
      <c r="I526" s="15"/>
      <c r="J526" s="15"/>
      <c r="K526" s="14"/>
      <c r="L526" s="22"/>
      <c r="M526" s="32" t="str">
        <f t="shared" si="11"/>
        <v/>
      </c>
      <c r="N526" s="16" t="str">
        <f t="shared" si="12"/>
        <v/>
      </c>
      <c r="O526" s="17" t="str">
        <f>IF(J526="","",M526/L526)</f>
        <v/>
      </c>
      <c r="P526" s="18" t="str">
        <f>IF(O526="","",(O526/(N526)*365))</f>
        <v/>
      </c>
      <c r="Q526" s="19"/>
    </row>
    <row r="527" spans="1:17" x14ac:dyDescent="0.15">
      <c r="A527" s="23"/>
      <c r="B527" s="3"/>
      <c r="C527" s="3"/>
      <c r="D527" s="3"/>
      <c r="E527" s="3"/>
      <c r="F527" s="23"/>
      <c r="G527" s="24"/>
      <c r="H527" s="1"/>
      <c r="I527" s="6"/>
      <c r="J527" s="6"/>
      <c r="K527" s="5"/>
      <c r="L527" s="24"/>
      <c r="M527" s="31" t="str">
        <f t="shared" si="11"/>
        <v/>
      </c>
      <c r="N527" s="7" t="str">
        <f t="shared" si="12"/>
        <v/>
      </c>
      <c r="O527" s="8" t="str">
        <f>IF(J527="","",M527/L527)</f>
        <v/>
      </c>
      <c r="P527" s="9" t="str">
        <f>IF(O527="","",(O527/(N527)*365))</f>
        <v/>
      </c>
      <c r="Q527" s="10"/>
    </row>
    <row r="528" spans="1:17" x14ac:dyDescent="0.15">
      <c r="A528" s="21"/>
      <c r="B528" s="20"/>
      <c r="C528" s="20"/>
      <c r="D528" s="20"/>
      <c r="E528" s="20"/>
      <c r="F528" s="21"/>
      <c r="G528" s="22"/>
      <c r="H528" s="11"/>
      <c r="I528" s="15"/>
      <c r="J528" s="15"/>
      <c r="K528" s="14"/>
      <c r="L528" s="22"/>
      <c r="M528" s="32" t="str">
        <f t="shared" si="11"/>
        <v/>
      </c>
      <c r="N528" s="16" t="str">
        <f t="shared" si="12"/>
        <v/>
      </c>
      <c r="O528" s="17" t="str">
        <f>IF(J528="","",M528/L528)</f>
        <v/>
      </c>
      <c r="P528" s="18" t="str">
        <f>IF(O528="","",(O528/(N528)*365))</f>
        <v/>
      </c>
      <c r="Q528" s="19"/>
    </row>
    <row r="529" spans="1:17" x14ac:dyDescent="0.15">
      <c r="A529" s="23"/>
      <c r="B529" s="3"/>
      <c r="C529" s="3"/>
      <c r="D529" s="3"/>
      <c r="E529" s="3"/>
      <c r="F529" s="23"/>
      <c r="G529" s="24"/>
      <c r="H529" s="1"/>
      <c r="I529" s="6"/>
      <c r="J529" s="6"/>
      <c r="K529" s="5"/>
      <c r="L529" s="24"/>
      <c r="M529" s="31" t="str">
        <f t="shared" si="11"/>
        <v/>
      </c>
      <c r="N529" s="7" t="str">
        <f t="shared" si="12"/>
        <v/>
      </c>
      <c r="O529" s="8" t="str">
        <f>IF(J529="","",M529/L529)</f>
        <v/>
      </c>
      <c r="P529" s="9" t="str">
        <f>IF(O529="","",(O529/(N529)*365))</f>
        <v/>
      </c>
      <c r="Q529" s="10"/>
    </row>
    <row r="530" spans="1:17" x14ac:dyDescent="0.15">
      <c r="A530" s="21"/>
      <c r="B530" s="20"/>
      <c r="C530" s="20"/>
      <c r="D530" s="20"/>
      <c r="E530" s="20"/>
      <c r="F530" s="21"/>
      <c r="G530" s="22"/>
      <c r="H530" s="11"/>
      <c r="I530" s="15"/>
      <c r="J530" s="15"/>
      <c r="K530" s="14"/>
      <c r="L530" s="22"/>
      <c r="M530" s="32" t="str">
        <f t="shared" si="11"/>
        <v/>
      </c>
      <c r="N530" s="16" t="str">
        <f t="shared" si="12"/>
        <v/>
      </c>
      <c r="O530" s="17" t="str">
        <f>IF(J530="","",M530/L530)</f>
        <v/>
      </c>
      <c r="P530" s="18" t="str">
        <f>IF(O530="","",(O530/(N530)*365))</f>
        <v/>
      </c>
      <c r="Q530" s="19"/>
    </row>
    <row r="531" spans="1:17" x14ac:dyDescent="0.15">
      <c r="A531" s="23"/>
      <c r="B531" s="3"/>
      <c r="C531" s="3"/>
      <c r="D531" s="3"/>
      <c r="E531" s="3"/>
      <c r="F531" s="23"/>
      <c r="G531" s="24"/>
      <c r="H531" s="1"/>
      <c r="I531" s="6"/>
      <c r="J531" s="6"/>
      <c r="K531" s="5"/>
      <c r="L531" s="24"/>
      <c r="M531" s="31" t="str">
        <f t="shared" si="11"/>
        <v/>
      </c>
      <c r="N531" s="7" t="str">
        <f t="shared" si="12"/>
        <v/>
      </c>
      <c r="O531" s="8" t="str">
        <f>IF(J531="","",M531/L531)</f>
        <v/>
      </c>
      <c r="P531" s="9" t="str">
        <f>IF(O531="","",(O531/(N531)*365))</f>
        <v/>
      </c>
      <c r="Q531" s="10"/>
    </row>
    <row r="532" spans="1:17" x14ac:dyDescent="0.15">
      <c r="A532" s="21"/>
      <c r="B532" s="20"/>
      <c r="C532" s="20"/>
      <c r="D532" s="20"/>
      <c r="E532" s="20"/>
      <c r="F532" s="21"/>
      <c r="G532" s="22"/>
      <c r="H532" s="11"/>
      <c r="I532" s="15"/>
      <c r="J532" s="15"/>
      <c r="K532" s="14"/>
      <c r="L532" s="22"/>
      <c r="M532" s="32" t="str">
        <f t="shared" si="11"/>
        <v/>
      </c>
      <c r="N532" s="16" t="str">
        <f t="shared" si="12"/>
        <v/>
      </c>
      <c r="O532" s="17" t="str">
        <f>IF(J532="","",M532/L532)</f>
        <v/>
      </c>
      <c r="P532" s="18" t="str">
        <f>IF(O532="","",(O532/(N532)*365))</f>
        <v/>
      </c>
      <c r="Q532" s="19"/>
    </row>
    <row r="533" spans="1:17" x14ac:dyDescent="0.15">
      <c r="A533" s="23"/>
      <c r="B533" s="3"/>
      <c r="C533" s="3"/>
      <c r="D533" s="3"/>
      <c r="E533" s="3"/>
      <c r="F533" s="23"/>
      <c r="G533" s="24"/>
      <c r="H533" s="1"/>
      <c r="I533" s="6"/>
      <c r="J533" s="6"/>
      <c r="K533" s="5"/>
      <c r="L533" s="24"/>
      <c r="M533" s="31" t="str">
        <f t="shared" si="11"/>
        <v/>
      </c>
      <c r="N533" s="7" t="str">
        <f t="shared" si="12"/>
        <v/>
      </c>
      <c r="O533" s="8" t="str">
        <f>IF(J533="","",M533/L533)</f>
        <v/>
      </c>
      <c r="P533" s="9" t="str">
        <f>IF(O533="","",(O533/(N533)*365))</f>
        <v/>
      </c>
      <c r="Q533" s="10"/>
    </row>
    <row r="534" spans="1:17" x14ac:dyDescent="0.15">
      <c r="A534" s="21"/>
      <c r="B534" s="20"/>
      <c r="C534" s="20"/>
      <c r="D534" s="20"/>
      <c r="E534" s="20"/>
      <c r="F534" s="21"/>
      <c r="G534" s="22"/>
      <c r="H534" s="11"/>
      <c r="I534" s="15"/>
      <c r="J534" s="15"/>
      <c r="K534" s="14"/>
      <c r="L534" s="22"/>
      <c r="M534" s="32" t="str">
        <f t="shared" si="11"/>
        <v/>
      </c>
      <c r="N534" s="16" t="str">
        <f t="shared" si="12"/>
        <v/>
      </c>
      <c r="O534" s="17" t="str">
        <f>IF(J534="","",M534/L534)</f>
        <v/>
      </c>
      <c r="P534" s="18" t="str">
        <f>IF(O534="","",(O534/(N534)*365))</f>
        <v/>
      </c>
      <c r="Q534" s="19"/>
    </row>
    <row r="535" spans="1:17" x14ac:dyDescent="0.15">
      <c r="A535" s="23"/>
      <c r="B535" s="3"/>
      <c r="C535" s="3"/>
      <c r="D535" s="3"/>
      <c r="E535" s="3"/>
      <c r="F535" s="23"/>
      <c r="G535" s="24"/>
      <c r="H535" s="1"/>
      <c r="I535" s="6"/>
      <c r="J535" s="6"/>
      <c r="K535" s="5"/>
      <c r="L535" s="24"/>
      <c r="M535" s="31" t="str">
        <f t="shared" si="11"/>
        <v/>
      </c>
      <c r="N535" s="7" t="str">
        <f t="shared" si="12"/>
        <v/>
      </c>
      <c r="O535" s="8" t="str">
        <f>IF(J535="","",M535/L535)</f>
        <v/>
      </c>
      <c r="P535" s="9" t="str">
        <f>IF(O535="","",(O535/(N535)*365))</f>
        <v/>
      </c>
      <c r="Q535" s="10"/>
    </row>
    <row r="536" spans="1:17" x14ac:dyDescent="0.15">
      <c r="A536" s="21"/>
      <c r="B536" s="20"/>
      <c r="C536" s="20"/>
      <c r="D536" s="20"/>
      <c r="E536" s="20"/>
      <c r="F536" s="21"/>
      <c r="G536" s="22"/>
      <c r="H536" s="11"/>
      <c r="I536" s="15"/>
      <c r="J536" s="15"/>
      <c r="K536" s="14"/>
      <c r="L536" s="22"/>
      <c r="M536" s="32" t="str">
        <f t="shared" si="11"/>
        <v/>
      </c>
      <c r="N536" s="16" t="str">
        <f t="shared" si="12"/>
        <v/>
      </c>
      <c r="O536" s="17" t="str">
        <f>IF(J536="","",M536/L536)</f>
        <v/>
      </c>
      <c r="P536" s="18" t="str">
        <f>IF(O536="","",(O536/(N536)*365))</f>
        <v/>
      </c>
      <c r="Q536" s="19"/>
    </row>
    <row r="537" spans="1:17" x14ac:dyDescent="0.15">
      <c r="A537" s="23"/>
      <c r="B537" s="3"/>
      <c r="C537" s="3"/>
      <c r="D537" s="3"/>
      <c r="E537" s="3"/>
      <c r="F537" s="23"/>
      <c r="G537" s="24"/>
      <c r="H537" s="1"/>
      <c r="I537" s="6"/>
      <c r="J537" s="6"/>
      <c r="K537" s="5"/>
      <c r="L537" s="24"/>
      <c r="M537" s="31" t="str">
        <f t="shared" si="11"/>
        <v/>
      </c>
      <c r="N537" s="7" t="str">
        <f t="shared" si="12"/>
        <v/>
      </c>
      <c r="O537" s="8" t="str">
        <f>IF(J537="","",M537/L537)</f>
        <v/>
      </c>
      <c r="P537" s="9" t="str">
        <f>IF(O537="","",(O537/(N537)*365))</f>
        <v/>
      </c>
      <c r="Q537" s="10"/>
    </row>
    <row r="538" spans="1:17" x14ac:dyDescent="0.15">
      <c r="A538" s="21"/>
      <c r="B538" s="20"/>
      <c r="C538" s="20"/>
      <c r="D538" s="20"/>
      <c r="E538" s="20"/>
      <c r="F538" s="21"/>
      <c r="G538" s="22"/>
      <c r="H538" s="11"/>
      <c r="I538" s="15"/>
      <c r="J538" s="15"/>
      <c r="K538" s="14"/>
      <c r="L538" s="22"/>
      <c r="M538" s="32" t="str">
        <f t="shared" si="11"/>
        <v/>
      </c>
      <c r="N538" s="16" t="str">
        <f t="shared" si="12"/>
        <v/>
      </c>
      <c r="O538" s="17" t="str">
        <f>IF(J538="","",M538/L538)</f>
        <v/>
      </c>
      <c r="P538" s="18" t="str">
        <f>IF(O538="","",(O538/(N538)*365))</f>
        <v/>
      </c>
      <c r="Q538" s="19"/>
    </row>
    <row r="539" spans="1:17" x14ac:dyDescent="0.15">
      <c r="A539" s="23"/>
      <c r="B539" s="3"/>
      <c r="C539" s="3"/>
      <c r="D539" s="3"/>
      <c r="E539" s="3"/>
      <c r="F539" s="23"/>
      <c r="G539" s="24"/>
      <c r="H539" s="1"/>
      <c r="I539" s="6"/>
      <c r="J539" s="6"/>
      <c r="K539" s="5"/>
      <c r="L539" s="24"/>
      <c r="M539" s="31" t="str">
        <f t="shared" si="11"/>
        <v/>
      </c>
      <c r="N539" s="7" t="str">
        <f t="shared" si="12"/>
        <v/>
      </c>
      <c r="O539" s="8" t="str">
        <f>IF(J539="","",M539/L539)</f>
        <v/>
      </c>
      <c r="P539" s="9" t="str">
        <f>IF(O539="","",(O539/(N539)*365))</f>
        <v/>
      </c>
      <c r="Q539" s="10"/>
    </row>
    <row r="540" spans="1:17" x14ac:dyDescent="0.15">
      <c r="A540" s="21"/>
      <c r="B540" s="20"/>
      <c r="C540" s="20"/>
      <c r="D540" s="20"/>
      <c r="E540" s="20"/>
      <c r="F540" s="21"/>
      <c r="G540" s="22"/>
      <c r="H540" s="11"/>
      <c r="I540" s="15"/>
      <c r="J540" s="15"/>
      <c r="K540" s="14"/>
      <c r="L540" s="22"/>
      <c r="M540" s="32" t="str">
        <f t="shared" si="11"/>
        <v/>
      </c>
      <c r="N540" s="16" t="str">
        <f t="shared" si="12"/>
        <v/>
      </c>
      <c r="O540" s="17" t="str">
        <f>IF(J540="","",M540/L540)</f>
        <v/>
      </c>
      <c r="P540" s="18" t="str">
        <f>IF(O540="","",(O540/(N540)*365))</f>
        <v/>
      </c>
      <c r="Q540" s="19"/>
    </row>
    <row r="541" spans="1:17" x14ac:dyDescent="0.15">
      <c r="A541" s="23"/>
      <c r="B541" s="3"/>
      <c r="C541" s="3"/>
      <c r="D541" s="3"/>
      <c r="E541" s="3"/>
      <c r="F541" s="23"/>
      <c r="G541" s="24"/>
      <c r="H541" s="1"/>
      <c r="I541" s="6"/>
      <c r="J541" s="6"/>
      <c r="K541" s="5"/>
      <c r="L541" s="24"/>
      <c r="M541" s="31" t="str">
        <f t="shared" si="11"/>
        <v/>
      </c>
      <c r="N541" s="7" t="str">
        <f t="shared" si="12"/>
        <v/>
      </c>
      <c r="O541" s="8" t="str">
        <f>IF(J541="","",M541/L541)</f>
        <v/>
      </c>
      <c r="P541" s="9" t="str">
        <f>IF(O541="","",(O541/(N541)*365))</f>
        <v/>
      </c>
      <c r="Q541" s="10"/>
    </row>
    <row r="542" spans="1:17" x14ac:dyDescent="0.15">
      <c r="A542" s="21"/>
      <c r="B542" s="20"/>
      <c r="C542" s="20"/>
      <c r="D542" s="20"/>
      <c r="E542" s="20"/>
      <c r="F542" s="21"/>
      <c r="G542" s="22"/>
      <c r="H542" s="11"/>
      <c r="I542" s="15"/>
      <c r="J542" s="15"/>
      <c r="K542" s="14"/>
      <c r="L542" s="22"/>
      <c r="M542" s="32" t="str">
        <f t="shared" si="11"/>
        <v/>
      </c>
      <c r="N542" s="16" t="str">
        <f t="shared" si="12"/>
        <v/>
      </c>
      <c r="O542" s="17" t="str">
        <f>IF(J542="","",M542/L542)</f>
        <v/>
      </c>
      <c r="P542" s="18" t="str">
        <f>IF(O542="","",(O542/(N542)*365))</f>
        <v/>
      </c>
      <c r="Q542" s="19"/>
    </row>
    <row r="543" spans="1:17" x14ac:dyDescent="0.15">
      <c r="A543" s="23"/>
      <c r="B543" s="3"/>
      <c r="C543" s="3"/>
      <c r="D543" s="3"/>
      <c r="E543" s="3"/>
      <c r="F543" s="23"/>
      <c r="G543" s="24"/>
      <c r="H543" s="1"/>
      <c r="I543" s="6"/>
      <c r="J543" s="6"/>
      <c r="K543" s="5"/>
      <c r="L543" s="24"/>
      <c r="M543" s="31" t="str">
        <f t="shared" si="11"/>
        <v/>
      </c>
      <c r="N543" s="7" t="str">
        <f t="shared" si="12"/>
        <v/>
      </c>
      <c r="O543" s="8" t="str">
        <f>IF(J543="","",M543/L543)</f>
        <v/>
      </c>
      <c r="P543" s="9" t="str">
        <f>IF(O543="","",(O543/(N543)*365))</f>
        <v/>
      </c>
      <c r="Q543" s="10"/>
    </row>
    <row r="544" spans="1:17" x14ac:dyDescent="0.15">
      <c r="A544" s="21"/>
      <c r="B544" s="20"/>
      <c r="C544" s="20"/>
      <c r="D544" s="20"/>
      <c r="E544" s="20"/>
      <c r="F544" s="21"/>
      <c r="G544" s="22"/>
      <c r="H544" s="11"/>
      <c r="I544" s="15"/>
      <c r="J544" s="15"/>
      <c r="K544" s="14"/>
      <c r="L544" s="22"/>
      <c r="M544" s="32" t="str">
        <f t="shared" si="11"/>
        <v/>
      </c>
      <c r="N544" s="16" t="str">
        <f t="shared" si="12"/>
        <v/>
      </c>
      <c r="O544" s="17" t="str">
        <f>IF(J544="","",M544/L544)</f>
        <v/>
      </c>
      <c r="P544" s="18" t="str">
        <f>IF(O544="","",(O544/(N544)*365))</f>
        <v/>
      </c>
      <c r="Q544" s="19"/>
    </row>
    <row r="545" spans="1:17" x14ac:dyDescent="0.15">
      <c r="A545" s="23"/>
      <c r="B545" s="3"/>
      <c r="C545" s="3"/>
      <c r="D545" s="3"/>
      <c r="E545" s="3"/>
      <c r="F545" s="23"/>
      <c r="G545" s="24"/>
      <c r="H545" s="1"/>
      <c r="I545" s="6"/>
      <c r="J545" s="6"/>
      <c r="K545" s="5"/>
      <c r="L545" s="24"/>
      <c r="M545" s="31" t="str">
        <f t="shared" si="11"/>
        <v/>
      </c>
      <c r="N545" s="7" t="str">
        <f t="shared" si="12"/>
        <v/>
      </c>
      <c r="O545" s="8" t="str">
        <f>IF(J545="","",M545/L545)</f>
        <v/>
      </c>
      <c r="P545" s="9" t="str">
        <f>IF(O545="","",(O545/(N545)*365))</f>
        <v/>
      </c>
      <c r="Q545" s="10"/>
    </row>
    <row r="546" spans="1:17" x14ac:dyDescent="0.15">
      <c r="A546" s="21"/>
      <c r="B546" s="20"/>
      <c r="C546" s="20"/>
      <c r="D546" s="20"/>
      <c r="E546" s="20"/>
      <c r="F546" s="21"/>
      <c r="G546" s="22"/>
      <c r="H546" s="11"/>
      <c r="I546" s="15"/>
      <c r="J546" s="15"/>
      <c r="K546" s="14"/>
      <c r="L546" s="22"/>
      <c r="M546" s="32" t="str">
        <f t="shared" si="11"/>
        <v/>
      </c>
      <c r="N546" s="16" t="str">
        <f t="shared" si="12"/>
        <v/>
      </c>
      <c r="O546" s="17" t="str">
        <f>IF(J546="","",M546/L546)</f>
        <v/>
      </c>
      <c r="P546" s="18" t="str">
        <f>IF(O546="","",(O546/(N546)*365))</f>
        <v/>
      </c>
      <c r="Q546" s="19"/>
    </row>
    <row r="547" spans="1:17" x14ac:dyDescent="0.15">
      <c r="A547" s="23"/>
      <c r="B547" s="3"/>
      <c r="C547" s="3"/>
      <c r="D547" s="3"/>
      <c r="E547" s="3"/>
      <c r="F547" s="23"/>
      <c r="G547" s="24"/>
      <c r="H547" s="1"/>
      <c r="I547" s="6"/>
      <c r="J547" s="6"/>
      <c r="K547" s="5"/>
      <c r="L547" s="24"/>
      <c r="M547" s="31" t="str">
        <f t="shared" si="11"/>
        <v/>
      </c>
      <c r="N547" s="7" t="str">
        <f t="shared" si="12"/>
        <v/>
      </c>
      <c r="O547" s="8" t="str">
        <f>IF(J547="","",M547/L547)</f>
        <v/>
      </c>
      <c r="P547" s="9" t="str">
        <f>IF(O547="","",(O547/(N547)*365))</f>
        <v/>
      </c>
      <c r="Q547" s="10"/>
    </row>
    <row r="548" spans="1:17" x14ac:dyDescent="0.15">
      <c r="A548" s="21"/>
      <c r="B548" s="20"/>
      <c r="C548" s="20"/>
      <c r="D548" s="20"/>
      <c r="E548" s="20"/>
      <c r="F548" s="21"/>
      <c r="G548" s="22"/>
      <c r="H548" s="11"/>
      <c r="I548" s="15"/>
      <c r="J548" s="15"/>
      <c r="K548" s="14"/>
      <c r="L548" s="22"/>
      <c r="M548" s="32" t="str">
        <f t="shared" si="11"/>
        <v/>
      </c>
      <c r="N548" s="16" t="str">
        <f t="shared" si="12"/>
        <v/>
      </c>
      <c r="O548" s="17" t="str">
        <f>IF(J548="","",M548/L548)</f>
        <v/>
      </c>
      <c r="P548" s="18" t="str">
        <f>IF(O548="","",(O548/(N548)*365))</f>
        <v/>
      </c>
      <c r="Q548" s="19"/>
    </row>
    <row r="549" spans="1:17" x14ac:dyDescent="0.15">
      <c r="A549" s="23"/>
      <c r="B549" s="3"/>
      <c r="C549" s="3"/>
      <c r="D549" s="3"/>
      <c r="E549" s="3"/>
      <c r="F549" s="23"/>
      <c r="G549" s="24"/>
      <c r="H549" s="1"/>
      <c r="I549" s="6"/>
      <c r="J549" s="6"/>
      <c r="K549" s="5"/>
      <c r="L549" s="24"/>
      <c r="M549" s="31" t="str">
        <f t="shared" si="11"/>
        <v/>
      </c>
      <c r="N549" s="7" t="str">
        <f t="shared" si="12"/>
        <v/>
      </c>
      <c r="O549" s="8" t="str">
        <f>IF(J549="","",M549/L549)</f>
        <v/>
      </c>
      <c r="P549" s="9" t="str">
        <f>IF(O549="","",(O549/(N549)*365))</f>
        <v/>
      </c>
      <c r="Q549" s="10"/>
    </row>
    <row r="550" spans="1:17" x14ac:dyDescent="0.15">
      <c r="A550" s="21"/>
      <c r="B550" s="20"/>
      <c r="C550" s="20"/>
      <c r="D550" s="20"/>
      <c r="E550" s="20"/>
      <c r="F550" s="21"/>
      <c r="G550" s="22"/>
      <c r="H550" s="11"/>
      <c r="I550" s="15"/>
      <c r="J550" s="15"/>
      <c r="K550" s="14"/>
      <c r="L550" s="22"/>
      <c r="M550" s="32" t="str">
        <f t="shared" si="11"/>
        <v/>
      </c>
      <c r="N550" s="16" t="str">
        <f t="shared" si="12"/>
        <v/>
      </c>
      <c r="O550" s="17" t="str">
        <f>IF(J550="","",M550/L550)</f>
        <v/>
      </c>
      <c r="P550" s="18" t="str">
        <f>IF(O550="","",(O550/(N550)*365))</f>
        <v/>
      </c>
      <c r="Q550" s="19"/>
    </row>
    <row r="551" spans="1:17" x14ac:dyDescent="0.15">
      <c r="A551" s="23"/>
      <c r="B551" s="3"/>
      <c r="C551" s="3"/>
      <c r="D551" s="3"/>
      <c r="E551" s="3"/>
      <c r="F551" s="23"/>
      <c r="G551" s="24"/>
      <c r="H551" s="1"/>
      <c r="I551" s="6"/>
      <c r="J551" s="6"/>
      <c r="K551" s="5"/>
      <c r="L551" s="24"/>
      <c r="M551" s="31" t="str">
        <f t="shared" si="11"/>
        <v/>
      </c>
      <c r="N551" s="7" t="str">
        <f t="shared" si="12"/>
        <v/>
      </c>
      <c r="O551" s="8" t="str">
        <f>IF(J551="","",M551/L551)</f>
        <v/>
      </c>
      <c r="P551" s="9" t="str">
        <f>IF(O551="","",(O551/(N551)*365))</f>
        <v/>
      </c>
      <c r="Q551" s="10"/>
    </row>
    <row r="552" spans="1:17" x14ac:dyDescent="0.15">
      <c r="A552" s="21"/>
      <c r="B552" s="20"/>
      <c r="C552" s="20"/>
      <c r="D552" s="20"/>
      <c r="E552" s="20"/>
      <c r="F552" s="21"/>
      <c r="G552" s="22"/>
      <c r="H552" s="11"/>
      <c r="I552" s="15"/>
      <c r="J552" s="15"/>
      <c r="K552" s="14"/>
      <c r="L552" s="22"/>
      <c r="M552" s="32" t="str">
        <f t="shared" si="11"/>
        <v/>
      </c>
      <c r="N552" s="16" t="str">
        <f t="shared" si="12"/>
        <v/>
      </c>
      <c r="O552" s="17" t="str">
        <f>IF(J552="","",M552/L552)</f>
        <v/>
      </c>
      <c r="P552" s="18" t="str">
        <f>IF(O552="","",(O552/(N552)*365))</f>
        <v/>
      </c>
      <c r="Q552" s="19"/>
    </row>
    <row r="553" spans="1:17" x14ac:dyDescent="0.15">
      <c r="A553" s="23"/>
      <c r="B553" s="3"/>
      <c r="C553" s="3"/>
      <c r="D553" s="3"/>
      <c r="E553" s="3"/>
      <c r="F553" s="23"/>
      <c r="G553" s="24"/>
      <c r="H553" s="1"/>
      <c r="I553" s="6"/>
      <c r="J553" s="6"/>
      <c r="K553" s="5"/>
      <c r="L553" s="24"/>
      <c r="M553" s="31" t="str">
        <f t="shared" si="11"/>
        <v/>
      </c>
      <c r="N553" s="7" t="str">
        <f t="shared" si="12"/>
        <v/>
      </c>
      <c r="O553" s="8" t="str">
        <f>IF(J553="","",M553/L553)</f>
        <v/>
      </c>
      <c r="P553" s="9" t="str">
        <f>IF(O553="","",(O553/(N553)*365))</f>
        <v/>
      </c>
      <c r="Q553" s="10"/>
    </row>
    <row r="554" spans="1:17" x14ac:dyDescent="0.15">
      <c r="A554" s="21"/>
      <c r="B554" s="20"/>
      <c r="C554" s="20"/>
      <c r="D554" s="20"/>
      <c r="E554" s="20"/>
      <c r="F554" s="21"/>
      <c r="G554" s="22"/>
      <c r="H554" s="11"/>
      <c r="I554" s="15"/>
      <c r="J554" s="15"/>
      <c r="K554" s="14"/>
      <c r="L554" s="22"/>
      <c r="M554" s="32" t="str">
        <f t="shared" si="11"/>
        <v/>
      </c>
      <c r="N554" s="16" t="str">
        <f t="shared" si="12"/>
        <v/>
      </c>
      <c r="O554" s="17" t="str">
        <f>IF(J554="","",M554/L554)</f>
        <v/>
      </c>
      <c r="P554" s="18" t="str">
        <f>IF(O554="","",(O554/(N554)*365))</f>
        <v/>
      </c>
      <c r="Q554" s="19"/>
    </row>
    <row r="555" spans="1:17" x14ac:dyDescent="0.15">
      <c r="A555" s="23"/>
      <c r="B555" s="3"/>
      <c r="C555" s="3"/>
      <c r="D555" s="3"/>
      <c r="E555" s="3"/>
      <c r="F555" s="23"/>
      <c r="G555" s="24"/>
      <c r="H555" s="1"/>
      <c r="I555" s="6"/>
      <c r="J555" s="6"/>
      <c r="K555" s="5"/>
      <c r="L555" s="24"/>
      <c r="M555" s="31" t="str">
        <f t="shared" si="11"/>
        <v/>
      </c>
      <c r="N555" s="7" t="str">
        <f t="shared" si="12"/>
        <v/>
      </c>
      <c r="O555" s="8" t="str">
        <f>IF(J555="","",M555/L555)</f>
        <v/>
      </c>
      <c r="P555" s="9" t="str">
        <f>IF(O555="","",(O555/(N555)*365))</f>
        <v/>
      </c>
      <c r="Q555" s="10"/>
    </row>
    <row r="556" spans="1:17" x14ac:dyDescent="0.15">
      <c r="A556" s="21"/>
      <c r="B556" s="20"/>
      <c r="C556" s="20"/>
      <c r="D556" s="20"/>
      <c r="E556" s="20"/>
      <c r="F556" s="21"/>
      <c r="G556" s="22"/>
      <c r="H556" s="11"/>
      <c r="I556" s="15"/>
      <c r="J556" s="15"/>
      <c r="K556" s="14"/>
      <c r="L556" s="22"/>
      <c r="M556" s="32" t="str">
        <f t="shared" si="11"/>
        <v/>
      </c>
      <c r="N556" s="16" t="str">
        <f t="shared" si="12"/>
        <v/>
      </c>
      <c r="O556" s="17" t="str">
        <f>IF(J556="","",M556/L556)</f>
        <v/>
      </c>
      <c r="P556" s="18" t="str">
        <f>IF(O556="","",(O556/(N556)*365))</f>
        <v/>
      </c>
      <c r="Q556" s="19"/>
    </row>
    <row r="557" spans="1:17" x14ac:dyDescent="0.15">
      <c r="A557" s="23"/>
      <c r="B557" s="3"/>
      <c r="C557" s="3"/>
      <c r="D557" s="3"/>
      <c r="E557" s="3"/>
      <c r="F557" s="23"/>
      <c r="G557" s="24"/>
      <c r="H557" s="1"/>
      <c r="I557" s="6"/>
      <c r="J557" s="6"/>
      <c r="K557" s="5"/>
      <c r="L557" s="24"/>
      <c r="M557" s="31" t="str">
        <f t="shared" si="11"/>
        <v/>
      </c>
      <c r="N557" s="7" t="str">
        <f t="shared" si="12"/>
        <v/>
      </c>
      <c r="O557" s="8" t="str">
        <f>IF(J557="","",M557/L557)</f>
        <v/>
      </c>
      <c r="P557" s="9" t="str">
        <f>IF(O557="","",(O557/(N557)*365))</f>
        <v/>
      </c>
      <c r="Q557" s="10"/>
    </row>
    <row r="558" spans="1:17" x14ac:dyDescent="0.15">
      <c r="A558" s="21"/>
      <c r="B558" s="20"/>
      <c r="C558" s="20"/>
      <c r="D558" s="20"/>
      <c r="E558" s="20"/>
      <c r="F558" s="21"/>
      <c r="G558" s="22"/>
      <c r="H558" s="11"/>
      <c r="I558" s="15"/>
      <c r="J558" s="15"/>
      <c r="K558" s="14"/>
      <c r="L558" s="22"/>
      <c r="M558" s="32" t="str">
        <f t="shared" si="11"/>
        <v/>
      </c>
      <c r="N558" s="16" t="str">
        <f t="shared" si="12"/>
        <v/>
      </c>
      <c r="O558" s="17" t="str">
        <f>IF(J558="","",M558/L558)</f>
        <v/>
      </c>
      <c r="P558" s="18" t="str">
        <f>IF(O558="","",(O558/(N558)*365))</f>
        <v/>
      </c>
      <c r="Q558" s="19"/>
    </row>
    <row r="559" spans="1:17" x14ac:dyDescent="0.15">
      <c r="A559" s="23"/>
      <c r="B559" s="3"/>
      <c r="C559" s="3"/>
      <c r="D559" s="3"/>
      <c r="E559" s="3"/>
      <c r="F559" s="23"/>
      <c r="G559" s="24"/>
      <c r="H559" s="1"/>
      <c r="I559" s="6"/>
      <c r="J559" s="6"/>
      <c r="K559" s="5"/>
      <c r="L559" s="24"/>
      <c r="M559" s="31" t="str">
        <f t="shared" si="11"/>
        <v/>
      </c>
      <c r="N559" s="7" t="str">
        <f t="shared" si="12"/>
        <v/>
      </c>
      <c r="O559" s="8" t="str">
        <f>IF(J559="","",M559/L559)</f>
        <v/>
      </c>
      <c r="P559" s="9" t="str">
        <f>IF(O559="","",(O559/(N559)*365))</f>
        <v/>
      </c>
      <c r="Q559" s="10"/>
    </row>
    <row r="560" spans="1:17" x14ac:dyDescent="0.15">
      <c r="A560" s="21"/>
      <c r="B560" s="20"/>
      <c r="C560" s="20"/>
      <c r="D560" s="20"/>
      <c r="E560" s="20"/>
      <c r="F560" s="21"/>
      <c r="G560" s="22"/>
      <c r="H560" s="11"/>
      <c r="I560" s="15"/>
      <c r="J560" s="15"/>
      <c r="K560" s="14"/>
      <c r="L560" s="22"/>
      <c r="M560" s="32" t="str">
        <f t="shared" si="11"/>
        <v/>
      </c>
      <c r="N560" s="16" t="str">
        <f t="shared" si="12"/>
        <v/>
      </c>
      <c r="O560" s="17" t="str">
        <f>IF(J560="","",M560/L560)</f>
        <v/>
      </c>
      <c r="P560" s="18" t="str">
        <f>IF(O560="","",(O560/(N560)*365))</f>
        <v/>
      </c>
      <c r="Q560" s="19"/>
    </row>
    <row r="561" spans="1:17" x14ac:dyDescent="0.15">
      <c r="A561" s="23"/>
      <c r="B561" s="3"/>
      <c r="C561" s="3"/>
      <c r="D561" s="3"/>
      <c r="E561" s="3"/>
      <c r="F561" s="23"/>
      <c r="G561" s="24"/>
      <c r="H561" s="1"/>
      <c r="I561" s="6"/>
      <c r="J561" s="6"/>
      <c r="K561" s="5"/>
      <c r="L561" s="24"/>
      <c r="M561" s="31" t="str">
        <f t="shared" si="11"/>
        <v/>
      </c>
      <c r="N561" s="7" t="str">
        <f t="shared" si="12"/>
        <v/>
      </c>
      <c r="O561" s="8" t="str">
        <f>IF(J561="","",M561/L561)</f>
        <v/>
      </c>
      <c r="P561" s="9" t="str">
        <f>IF(O561="","",(O561/(N561)*365))</f>
        <v/>
      </c>
      <c r="Q561" s="10"/>
    </row>
    <row r="562" spans="1:17" x14ac:dyDescent="0.15">
      <c r="A562" s="21"/>
      <c r="B562" s="20"/>
      <c r="C562" s="20"/>
      <c r="D562" s="20"/>
      <c r="E562" s="20"/>
      <c r="F562" s="21"/>
      <c r="G562" s="22"/>
      <c r="H562" s="11"/>
      <c r="I562" s="15"/>
      <c r="J562" s="15"/>
      <c r="K562" s="14"/>
      <c r="L562" s="22"/>
      <c r="M562" s="32" t="str">
        <f t="shared" si="11"/>
        <v/>
      </c>
      <c r="N562" s="16" t="str">
        <f t="shared" si="12"/>
        <v/>
      </c>
      <c r="O562" s="17" t="str">
        <f>IF(J562="","",M562/L562)</f>
        <v/>
      </c>
      <c r="P562" s="18" t="str">
        <f>IF(O562="","",(O562/(N562)*365))</f>
        <v/>
      </c>
      <c r="Q562" s="19"/>
    </row>
    <row r="563" spans="1:17" x14ac:dyDescent="0.15">
      <c r="A563" s="23"/>
      <c r="B563" s="3"/>
      <c r="C563" s="3"/>
      <c r="D563" s="3"/>
      <c r="E563" s="3"/>
      <c r="F563" s="23"/>
      <c r="G563" s="24"/>
      <c r="H563" s="1"/>
      <c r="I563" s="6"/>
      <c r="J563" s="6"/>
      <c r="K563" s="5"/>
      <c r="L563" s="24"/>
      <c r="M563" s="31" t="str">
        <f t="shared" si="11"/>
        <v/>
      </c>
      <c r="N563" s="7" t="str">
        <f t="shared" si="12"/>
        <v/>
      </c>
      <c r="O563" s="8" t="str">
        <f>IF(J563="","",M563/L563)</f>
        <v/>
      </c>
      <c r="P563" s="9" t="str">
        <f>IF(O563="","",(O563/(N563)*365))</f>
        <v/>
      </c>
      <c r="Q563" s="10"/>
    </row>
    <row r="564" spans="1:17" x14ac:dyDescent="0.15">
      <c r="A564" s="21"/>
      <c r="B564" s="20"/>
      <c r="C564" s="20"/>
      <c r="D564" s="20"/>
      <c r="E564" s="20"/>
      <c r="F564" s="21"/>
      <c r="G564" s="22"/>
      <c r="H564" s="11"/>
      <c r="I564" s="15"/>
      <c r="J564" s="15"/>
      <c r="K564" s="14"/>
      <c r="L564" s="22"/>
      <c r="M564" s="32" t="str">
        <f t="shared" si="11"/>
        <v/>
      </c>
      <c r="N564" s="16" t="str">
        <f t="shared" si="12"/>
        <v/>
      </c>
      <c r="O564" s="17" t="str">
        <f>IF(J564="","",M564/L564)</f>
        <v/>
      </c>
      <c r="P564" s="18" t="str">
        <f>IF(O564="","",(O564/(N564)*365))</f>
        <v/>
      </c>
      <c r="Q564" s="19"/>
    </row>
    <row r="565" spans="1:17" x14ac:dyDescent="0.15">
      <c r="A565" s="23"/>
      <c r="B565" s="3"/>
      <c r="C565" s="3"/>
      <c r="D565" s="3"/>
      <c r="E565" s="3"/>
      <c r="F565" s="23"/>
      <c r="G565" s="24"/>
      <c r="H565" s="1"/>
      <c r="I565" s="6"/>
      <c r="J565" s="6"/>
      <c r="K565" s="5"/>
      <c r="L565" s="24"/>
      <c r="M565" s="31" t="str">
        <f t="shared" si="11"/>
        <v/>
      </c>
      <c r="N565" s="7" t="str">
        <f t="shared" si="12"/>
        <v/>
      </c>
      <c r="O565" s="8" t="str">
        <f>IF(J565="","",M565/L565)</f>
        <v/>
      </c>
      <c r="P565" s="9" t="str">
        <f>IF(O565="","",(O565/(N565)*365))</f>
        <v/>
      </c>
      <c r="Q565" s="10"/>
    </row>
    <row r="566" spans="1:17" x14ac:dyDescent="0.15">
      <c r="A566" s="21"/>
      <c r="B566" s="20"/>
      <c r="C566" s="20"/>
      <c r="D566" s="20"/>
      <c r="E566" s="20"/>
      <c r="F566" s="21"/>
      <c r="G566" s="22"/>
      <c r="H566" s="11"/>
      <c r="I566" s="15"/>
      <c r="J566" s="15"/>
      <c r="K566" s="14"/>
      <c r="L566" s="22"/>
      <c r="M566" s="32" t="str">
        <f t="shared" si="11"/>
        <v/>
      </c>
      <c r="N566" s="16" t="str">
        <f t="shared" si="12"/>
        <v/>
      </c>
      <c r="O566" s="17" t="str">
        <f>IF(J566="","",M566/L566)</f>
        <v/>
      </c>
      <c r="P566" s="18" t="str">
        <f>IF(O566="","",(O566/(N566)*365))</f>
        <v/>
      </c>
      <c r="Q566" s="19"/>
    </row>
    <row r="567" spans="1:17" x14ac:dyDescent="0.15">
      <c r="A567" s="23"/>
      <c r="B567" s="3"/>
      <c r="C567" s="3"/>
      <c r="D567" s="3"/>
      <c r="E567" s="3"/>
      <c r="F567" s="23"/>
      <c r="G567" s="24"/>
      <c r="H567" s="1"/>
      <c r="I567" s="6"/>
      <c r="J567" s="6"/>
      <c r="K567" s="5"/>
      <c r="L567" s="24"/>
      <c r="M567" s="31" t="str">
        <f t="shared" si="11"/>
        <v/>
      </c>
      <c r="N567" s="7" t="str">
        <f t="shared" si="12"/>
        <v/>
      </c>
      <c r="O567" s="8" t="str">
        <f>IF(J567="","",M567/L567)</f>
        <v/>
      </c>
      <c r="P567" s="9" t="str">
        <f>IF(O567="","",(O567/(N567)*365))</f>
        <v/>
      </c>
      <c r="Q567" s="10"/>
    </row>
    <row r="568" spans="1:17" x14ac:dyDescent="0.15">
      <c r="A568" s="21"/>
      <c r="B568" s="20"/>
      <c r="C568" s="20"/>
      <c r="D568" s="20"/>
      <c r="E568" s="20"/>
      <c r="F568" s="21"/>
      <c r="G568" s="22"/>
      <c r="H568" s="11"/>
      <c r="I568" s="15"/>
      <c r="J568" s="15"/>
      <c r="K568" s="14"/>
      <c r="L568" s="22"/>
      <c r="M568" s="32" t="str">
        <f t="shared" si="11"/>
        <v/>
      </c>
      <c r="N568" s="16" t="str">
        <f t="shared" si="12"/>
        <v/>
      </c>
      <c r="O568" s="17" t="str">
        <f>IF(J568="","",M568/L568)</f>
        <v/>
      </c>
      <c r="P568" s="18" t="str">
        <f>IF(O568="","",(O568/(N568)*365))</f>
        <v/>
      </c>
      <c r="Q568" s="19"/>
    </row>
    <row r="569" spans="1:17" x14ac:dyDescent="0.15">
      <c r="A569" s="23"/>
      <c r="B569" s="3"/>
      <c r="C569" s="3"/>
      <c r="D569" s="3"/>
      <c r="E569" s="3"/>
      <c r="F569" s="23"/>
      <c r="G569" s="24"/>
      <c r="H569" s="1"/>
      <c r="I569" s="6"/>
      <c r="J569" s="6"/>
      <c r="K569" s="5"/>
      <c r="L569" s="24"/>
      <c r="M569" s="31" t="str">
        <f t="shared" si="11"/>
        <v/>
      </c>
      <c r="N569" s="7" t="str">
        <f t="shared" si="12"/>
        <v/>
      </c>
      <c r="O569" s="8" t="str">
        <f>IF(J569="","",M569/L569)</f>
        <v/>
      </c>
      <c r="P569" s="9" t="str">
        <f>IF(O569="","",(O569/(N569)*365))</f>
        <v/>
      </c>
      <c r="Q569" s="10"/>
    </row>
    <row r="570" spans="1:17" x14ac:dyDescent="0.15">
      <c r="A570" s="21"/>
      <c r="B570" s="20"/>
      <c r="C570" s="20"/>
      <c r="D570" s="20"/>
      <c r="E570" s="20"/>
      <c r="F570" s="21"/>
      <c r="G570" s="22"/>
      <c r="H570" s="11"/>
      <c r="I570" s="15"/>
      <c r="J570" s="15"/>
      <c r="K570" s="14"/>
      <c r="L570" s="22"/>
      <c r="M570" s="32" t="str">
        <f t="shared" si="11"/>
        <v/>
      </c>
      <c r="N570" s="16" t="str">
        <f t="shared" si="12"/>
        <v/>
      </c>
      <c r="O570" s="17" t="str">
        <f>IF(J570="","",M570/L570)</f>
        <v/>
      </c>
      <c r="P570" s="18" t="str">
        <f>IF(O570="","",(O570/(N570)*365))</f>
        <v/>
      </c>
      <c r="Q570" s="19"/>
    </row>
    <row r="571" spans="1:17" x14ac:dyDescent="0.15">
      <c r="A571" s="23"/>
      <c r="B571" s="3"/>
      <c r="C571" s="3"/>
      <c r="D571" s="3"/>
      <c r="E571" s="3"/>
      <c r="F571" s="23"/>
      <c r="G571" s="24"/>
      <c r="H571" s="1"/>
      <c r="I571" s="6"/>
      <c r="J571" s="6"/>
      <c r="K571" s="5"/>
      <c r="L571" s="24"/>
      <c r="M571" s="31" t="str">
        <f t="shared" si="11"/>
        <v/>
      </c>
      <c r="N571" s="7" t="str">
        <f t="shared" si="12"/>
        <v/>
      </c>
      <c r="O571" s="8" t="str">
        <f>IF(J571="","",M571/L571)</f>
        <v/>
      </c>
      <c r="P571" s="9" t="str">
        <f>IF(O571="","",(O571/(N571)*365))</f>
        <v/>
      </c>
      <c r="Q571" s="10"/>
    </row>
    <row r="572" spans="1:17" x14ac:dyDescent="0.15">
      <c r="A572" s="21"/>
      <c r="B572" s="20"/>
      <c r="C572" s="20"/>
      <c r="D572" s="20"/>
      <c r="E572" s="20"/>
      <c r="F572" s="21"/>
      <c r="G572" s="22"/>
      <c r="H572" s="11"/>
      <c r="I572" s="15"/>
      <c r="J572" s="15"/>
      <c r="K572" s="14"/>
      <c r="L572" s="22"/>
      <c r="M572" s="32" t="str">
        <f t="shared" si="11"/>
        <v/>
      </c>
      <c r="N572" s="16" t="str">
        <f t="shared" si="12"/>
        <v/>
      </c>
      <c r="O572" s="17" t="str">
        <f>IF(J572="","",M572/L572)</f>
        <v/>
      </c>
      <c r="P572" s="18" t="str">
        <f>IF(O572="","",(O572/(N572)*365))</f>
        <v/>
      </c>
      <c r="Q572" s="19"/>
    </row>
    <row r="573" spans="1:17" x14ac:dyDescent="0.15">
      <c r="A573" s="23"/>
      <c r="B573" s="3"/>
      <c r="C573" s="3"/>
      <c r="D573" s="3"/>
      <c r="E573" s="3"/>
      <c r="F573" s="23"/>
      <c r="G573" s="24"/>
      <c r="H573" s="1"/>
      <c r="I573" s="6"/>
      <c r="J573" s="6"/>
      <c r="K573" s="5"/>
      <c r="L573" s="24"/>
      <c r="M573" s="31" t="str">
        <f t="shared" si="11"/>
        <v/>
      </c>
      <c r="N573" s="7" t="str">
        <f t="shared" si="12"/>
        <v/>
      </c>
      <c r="O573" s="8" t="str">
        <f>IF(J573="","",M573/L573)</f>
        <v/>
      </c>
      <c r="P573" s="9" t="str">
        <f>IF(O573="","",(O573/(N573)*365))</f>
        <v/>
      </c>
      <c r="Q573" s="10"/>
    </row>
    <row r="574" spans="1:17" x14ac:dyDescent="0.15">
      <c r="A574" s="21"/>
      <c r="B574" s="20"/>
      <c r="C574" s="20"/>
      <c r="D574" s="20"/>
      <c r="E574" s="20"/>
      <c r="F574" s="21"/>
      <c r="G574" s="22"/>
      <c r="H574" s="11"/>
      <c r="I574" s="15"/>
      <c r="J574" s="15"/>
      <c r="K574" s="14"/>
      <c r="L574" s="22"/>
      <c r="M574" s="32" t="str">
        <f t="shared" si="11"/>
        <v/>
      </c>
      <c r="N574" s="16" t="str">
        <f t="shared" si="12"/>
        <v/>
      </c>
      <c r="O574" s="17" t="str">
        <f>IF(J574="","",M574/L574)</f>
        <v/>
      </c>
      <c r="P574" s="18" t="str">
        <f>IF(O574="","",(O574/(N574)*365))</f>
        <v/>
      </c>
      <c r="Q574" s="19"/>
    </row>
    <row r="575" spans="1:17" x14ac:dyDescent="0.15">
      <c r="A575" s="23"/>
      <c r="B575" s="3"/>
      <c r="C575" s="3"/>
      <c r="D575" s="3"/>
      <c r="E575" s="3"/>
      <c r="F575" s="23"/>
      <c r="G575" s="24"/>
      <c r="H575" s="1"/>
      <c r="I575" s="6"/>
      <c r="J575" s="6"/>
      <c r="K575" s="5"/>
      <c r="L575" s="24"/>
      <c r="M575" s="31" t="str">
        <f t="shared" si="11"/>
        <v/>
      </c>
      <c r="N575" s="7" t="str">
        <f t="shared" si="12"/>
        <v/>
      </c>
      <c r="O575" s="8" t="str">
        <f>IF(J575="","",M575/L575)</f>
        <v/>
      </c>
      <c r="P575" s="9" t="str">
        <f>IF(O575="","",(O575/(N575)*365))</f>
        <v/>
      </c>
      <c r="Q575" s="10"/>
    </row>
    <row r="576" spans="1:17" x14ac:dyDescent="0.15">
      <c r="A576" s="21"/>
      <c r="B576" s="20"/>
      <c r="C576" s="20"/>
      <c r="D576" s="20"/>
      <c r="E576" s="20"/>
      <c r="F576" s="21"/>
      <c r="G576" s="22"/>
      <c r="H576" s="11"/>
      <c r="I576" s="15"/>
      <c r="J576" s="15"/>
      <c r="K576" s="14"/>
      <c r="L576" s="22"/>
      <c r="M576" s="32" t="str">
        <f t="shared" si="11"/>
        <v/>
      </c>
      <c r="N576" s="16" t="str">
        <f t="shared" si="12"/>
        <v/>
      </c>
      <c r="O576" s="17" t="str">
        <f>IF(J576="","",M576/L576)</f>
        <v/>
      </c>
      <c r="P576" s="18" t="str">
        <f>IF(O576="","",(O576/(N576)*365))</f>
        <v/>
      </c>
      <c r="Q576" s="19"/>
    </row>
    <row r="577" spans="1:17" x14ac:dyDescent="0.15">
      <c r="A577" s="23"/>
      <c r="B577" s="3"/>
      <c r="C577" s="3"/>
      <c r="D577" s="3"/>
      <c r="E577" s="3"/>
      <c r="F577" s="23"/>
      <c r="G577" s="24"/>
      <c r="H577" s="1"/>
      <c r="I577" s="6"/>
      <c r="J577" s="6"/>
      <c r="K577" s="5"/>
      <c r="L577" s="24"/>
      <c r="M577" s="31" t="str">
        <f t="shared" si="11"/>
        <v/>
      </c>
      <c r="N577" s="7" t="str">
        <f t="shared" si="12"/>
        <v/>
      </c>
      <c r="O577" s="8" t="str">
        <f>IF(J577="","",M577/L577)</f>
        <v/>
      </c>
      <c r="P577" s="9" t="str">
        <f>IF(O577="","",(O577/(N577)*365))</f>
        <v/>
      </c>
      <c r="Q577" s="10"/>
    </row>
    <row r="578" spans="1:17" x14ac:dyDescent="0.15">
      <c r="A578" s="21"/>
      <c r="B578" s="20"/>
      <c r="C578" s="20"/>
      <c r="D578" s="20"/>
      <c r="E578" s="20"/>
      <c r="F578" s="21"/>
      <c r="G578" s="22"/>
      <c r="H578" s="11"/>
      <c r="I578" s="15"/>
      <c r="J578" s="15"/>
      <c r="K578" s="14"/>
      <c r="L578" s="22"/>
      <c r="M578" s="32" t="str">
        <f t="shared" si="11"/>
        <v/>
      </c>
      <c r="N578" s="16" t="str">
        <f t="shared" si="12"/>
        <v/>
      </c>
      <c r="O578" s="17" t="str">
        <f>IF(J578="","",M578/L578)</f>
        <v/>
      </c>
      <c r="P578" s="18" t="str">
        <f>IF(O578="","",(O578/(N578)*365))</f>
        <v/>
      </c>
      <c r="Q578" s="19"/>
    </row>
    <row r="579" spans="1:17" x14ac:dyDescent="0.15">
      <c r="A579" s="23"/>
      <c r="B579" s="3"/>
      <c r="C579" s="3"/>
      <c r="D579" s="3"/>
      <c r="E579" s="3"/>
      <c r="F579" s="23"/>
      <c r="G579" s="24"/>
      <c r="H579" s="1"/>
      <c r="I579" s="6"/>
      <c r="J579" s="6"/>
      <c r="K579" s="5"/>
      <c r="L579" s="24"/>
      <c r="M579" s="31" t="str">
        <f t="shared" si="11"/>
        <v/>
      </c>
      <c r="N579" s="7" t="str">
        <f t="shared" si="12"/>
        <v/>
      </c>
      <c r="O579" s="8" t="str">
        <f>IF(J579="","",M579/L579)</f>
        <v/>
      </c>
      <c r="P579" s="9" t="str">
        <f>IF(O579="","",(O579/(N579)*365))</f>
        <v/>
      </c>
      <c r="Q579" s="10"/>
    </row>
    <row r="580" spans="1:17" x14ac:dyDescent="0.15">
      <c r="A580" s="21"/>
      <c r="B580" s="20"/>
      <c r="C580" s="20"/>
      <c r="D580" s="20"/>
      <c r="E580" s="20"/>
      <c r="F580" s="21"/>
      <c r="G580" s="22"/>
      <c r="H580" s="11"/>
      <c r="I580" s="15"/>
      <c r="J580" s="15"/>
      <c r="K580" s="14"/>
      <c r="L580" s="22"/>
      <c r="M580" s="32" t="str">
        <f t="shared" si="11"/>
        <v/>
      </c>
      <c r="N580" s="16" t="str">
        <f t="shared" si="12"/>
        <v/>
      </c>
      <c r="O580" s="17" t="str">
        <f>IF(J580="","",M580/L580)</f>
        <v/>
      </c>
      <c r="P580" s="18" t="str">
        <f>IF(O580="","",(O580/(N580)*365))</f>
        <v/>
      </c>
      <c r="Q580" s="19"/>
    </row>
    <row r="581" spans="1:17" x14ac:dyDescent="0.15">
      <c r="A581" s="23"/>
      <c r="B581" s="3"/>
      <c r="C581" s="3"/>
      <c r="D581" s="3"/>
      <c r="E581" s="3"/>
      <c r="F581" s="23"/>
      <c r="G581" s="24"/>
      <c r="H581" s="1"/>
      <c r="I581" s="6"/>
      <c r="J581" s="6"/>
      <c r="K581" s="5"/>
      <c r="L581" s="24"/>
      <c r="M581" s="31" t="str">
        <f t="shared" si="11"/>
        <v/>
      </c>
      <c r="N581" s="7" t="str">
        <f t="shared" si="12"/>
        <v/>
      </c>
      <c r="O581" s="8" t="str">
        <f>IF(J581="","",M581/L581)</f>
        <v/>
      </c>
      <c r="P581" s="9" t="str">
        <f>IF(O581="","",(O581/(N581)*365))</f>
        <v/>
      </c>
      <c r="Q581" s="10"/>
    </row>
    <row r="582" spans="1:17" x14ac:dyDescent="0.15">
      <c r="A582" s="21"/>
      <c r="B582" s="20"/>
      <c r="C582" s="20"/>
      <c r="D582" s="20"/>
      <c r="E582" s="20"/>
      <c r="F582" s="21"/>
      <c r="G582" s="22"/>
      <c r="H582" s="11"/>
      <c r="I582" s="15"/>
      <c r="J582" s="15"/>
      <c r="K582" s="14"/>
      <c r="L582" s="22"/>
      <c r="M582" s="32" t="str">
        <f t="shared" si="11"/>
        <v/>
      </c>
      <c r="N582" s="16" t="str">
        <f t="shared" si="12"/>
        <v/>
      </c>
      <c r="O582" s="17" t="str">
        <f>IF(J582="","",M582/L582)</f>
        <v/>
      </c>
      <c r="P582" s="18" t="str">
        <f>IF(O582="","",(O582/(N582)*365))</f>
        <v/>
      </c>
      <c r="Q582" s="19"/>
    </row>
    <row r="583" spans="1:17" x14ac:dyDescent="0.15">
      <c r="A583" s="23"/>
      <c r="B583" s="3"/>
      <c r="C583" s="3"/>
      <c r="D583" s="3"/>
      <c r="E583" s="3"/>
      <c r="F583" s="23"/>
      <c r="G583" s="24"/>
      <c r="H583" s="1"/>
      <c r="I583" s="6"/>
      <c r="J583" s="6"/>
      <c r="K583" s="5"/>
      <c r="L583" s="24"/>
      <c r="M583" s="31" t="str">
        <f t="shared" si="11"/>
        <v/>
      </c>
      <c r="N583" s="7" t="str">
        <f t="shared" si="12"/>
        <v/>
      </c>
      <c r="O583" s="8" t="str">
        <f>IF(J583="","",M583/L583)</f>
        <v/>
      </c>
      <c r="P583" s="9" t="str">
        <f>IF(O583="","",(O583/(N583)*365))</f>
        <v/>
      </c>
      <c r="Q583" s="10"/>
    </row>
    <row r="584" spans="1:17" x14ac:dyDescent="0.15">
      <c r="A584" s="21"/>
      <c r="B584" s="20"/>
      <c r="C584" s="20"/>
      <c r="D584" s="20"/>
      <c r="E584" s="20"/>
      <c r="F584" s="21"/>
      <c r="G584" s="22"/>
      <c r="H584" s="11"/>
      <c r="I584" s="15"/>
      <c r="J584" s="15"/>
      <c r="K584" s="14"/>
      <c r="L584" s="22"/>
      <c r="M584" s="32" t="str">
        <f t="shared" si="11"/>
        <v/>
      </c>
      <c r="N584" s="16" t="str">
        <f t="shared" si="12"/>
        <v/>
      </c>
      <c r="O584" s="17" t="str">
        <f>IF(J584="","",M584/L584)</f>
        <v/>
      </c>
      <c r="P584" s="18" t="str">
        <f>IF(O584="","",(O584/(N584)*365))</f>
        <v/>
      </c>
      <c r="Q584" s="19"/>
    </row>
    <row r="585" spans="1:17" x14ac:dyDescent="0.15">
      <c r="A585" s="23"/>
      <c r="B585" s="3"/>
      <c r="C585" s="3"/>
      <c r="D585" s="3"/>
      <c r="E585" s="3"/>
      <c r="F585" s="23"/>
      <c r="G585" s="24"/>
      <c r="H585" s="1"/>
      <c r="I585" s="6"/>
      <c r="J585" s="6"/>
      <c r="K585" s="5"/>
      <c r="L585" s="24"/>
      <c r="M585" s="31" t="str">
        <f t="shared" si="11"/>
        <v/>
      </c>
      <c r="N585" s="7" t="str">
        <f t="shared" si="12"/>
        <v/>
      </c>
      <c r="O585" s="8" t="str">
        <f>IF(J585="","",M585/L585)</f>
        <v/>
      </c>
      <c r="P585" s="9" t="str">
        <f>IF(O585="","",(O585/(N585)*365))</f>
        <v/>
      </c>
      <c r="Q585" s="10"/>
    </row>
    <row r="586" spans="1:17" x14ac:dyDescent="0.15">
      <c r="A586" s="21"/>
      <c r="B586" s="20"/>
      <c r="C586" s="20"/>
      <c r="D586" s="20"/>
      <c r="E586" s="20"/>
      <c r="F586" s="21"/>
      <c r="G586" s="22"/>
      <c r="H586" s="11"/>
      <c r="I586" s="15"/>
      <c r="J586" s="15"/>
      <c r="K586" s="14"/>
      <c r="L586" s="22"/>
      <c r="M586" s="32" t="str">
        <f t="shared" si="11"/>
        <v/>
      </c>
      <c r="N586" s="16" t="str">
        <f t="shared" si="12"/>
        <v/>
      </c>
      <c r="O586" s="17" t="str">
        <f>IF(J586="","",M586/L586)</f>
        <v/>
      </c>
      <c r="P586" s="18" t="str">
        <f>IF(O586="","",(O586/(N586)*365))</f>
        <v/>
      </c>
      <c r="Q586" s="19"/>
    </row>
    <row r="587" spans="1:17" x14ac:dyDescent="0.15">
      <c r="A587" s="23"/>
      <c r="B587" s="3"/>
      <c r="C587" s="3"/>
      <c r="D587" s="3"/>
      <c r="E587" s="3"/>
      <c r="F587" s="23"/>
      <c r="G587" s="24"/>
      <c r="H587" s="1"/>
      <c r="I587" s="6"/>
      <c r="J587" s="6"/>
      <c r="K587" s="5"/>
      <c r="L587" s="24"/>
      <c r="M587" s="31" t="str">
        <f t="shared" si="11"/>
        <v/>
      </c>
      <c r="N587" s="7" t="str">
        <f t="shared" si="12"/>
        <v/>
      </c>
      <c r="O587" s="8" t="str">
        <f>IF(J587="","",M587/L587)</f>
        <v/>
      </c>
      <c r="P587" s="9" t="str">
        <f>IF(O587="","",(O587/(N587)*365))</f>
        <v/>
      </c>
      <c r="Q587" s="10"/>
    </row>
    <row r="588" spans="1:17" x14ac:dyDescent="0.15">
      <c r="A588" s="21"/>
      <c r="B588" s="20"/>
      <c r="C588" s="20"/>
      <c r="D588" s="20"/>
      <c r="E588" s="20"/>
      <c r="F588" s="21"/>
      <c r="G588" s="22"/>
      <c r="H588" s="11"/>
      <c r="I588" s="15"/>
      <c r="J588" s="15"/>
      <c r="K588" s="14"/>
      <c r="L588" s="22"/>
      <c r="M588" s="32" t="str">
        <f t="shared" si="11"/>
        <v/>
      </c>
      <c r="N588" s="16" t="str">
        <f t="shared" si="12"/>
        <v/>
      </c>
      <c r="O588" s="17" t="str">
        <f>IF(J588="","",M588/L588)</f>
        <v/>
      </c>
      <c r="P588" s="18" t="str">
        <f>IF(O588="","",(O588/(N588)*365))</f>
        <v/>
      </c>
      <c r="Q588" s="19"/>
    </row>
    <row r="589" spans="1:17" x14ac:dyDescent="0.15">
      <c r="A589" s="23"/>
      <c r="B589" s="3"/>
      <c r="C589" s="3"/>
      <c r="D589" s="3"/>
      <c r="E589" s="3"/>
      <c r="F589" s="23"/>
      <c r="G589" s="24"/>
      <c r="H589" s="1"/>
      <c r="I589" s="6"/>
      <c r="J589" s="6"/>
      <c r="K589" s="5"/>
      <c r="L589" s="24"/>
      <c r="M589" s="31" t="str">
        <f t="shared" si="11"/>
        <v/>
      </c>
      <c r="N589" s="7" t="str">
        <f t="shared" si="12"/>
        <v/>
      </c>
      <c r="O589" s="8" t="str">
        <f>IF(J589="","",M589/L589)</f>
        <v/>
      </c>
      <c r="P589" s="9" t="str">
        <f>IF(O589="","",(O589/(N589)*365))</f>
        <v/>
      </c>
      <c r="Q589" s="10"/>
    </row>
    <row r="590" spans="1:17" x14ac:dyDescent="0.15">
      <c r="A590" s="21"/>
      <c r="B590" s="20"/>
      <c r="C590" s="20"/>
      <c r="D590" s="20"/>
      <c r="E590" s="20"/>
      <c r="F590" s="21"/>
      <c r="G590" s="22"/>
      <c r="H590" s="11"/>
      <c r="I590" s="15"/>
      <c r="J590" s="15"/>
      <c r="K590" s="14"/>
      <c r="L590" s="22"/>
      <c r="M590" s="32" t="str">
        <f t="shared" si="11"/>
        <v/>
      </c>
      <c r="N590" s="16" t="str">
        <f t="shared" si="12"/>
        <v/>
      </c>
      <c r="O590" s="17" t="str">
        <f>IF(J590="","",M590/L590)</f>
        <v/>
      </c>
      <c r="P590" s="18" t="str">
        <f>IF(O590="","",(O590/(N590)*365))</f>
        <v/>
      </c>
      <c r="Q590" s="19"/>
    </row>
    <row r="591" spans="1:17" x14ac:dyDescent="0.15">
      <c r="A591" s="23"/>
      <c r="B591" s="3"/>
      <c r="C591" s="3"/>
      <c r="D591" s="3"/>
      <c r="E591" s="3"/>
      <c r="F591" s="23"/>
      <c r="G591" s="24"/>
      <c r="H591" s="1"/>
      <c r="I591" s="6"/>
      <c r="J591" s="6"/>
      <c r="K591" s="5"/>
      <c r="L591" s="24"/>
      <c r="M591" s="31" t="str">
        <f t="shared" si="11"/>
        <v/>
      </c>
      <c r="N591" s="7" t="str">
        <f t="shared" si="12"/>
        <v/>
      </c>
      <c r="O591" s="8" t="str">
        <f>IF(J591="","",M591/L591)</f>
        <v/>
      </c>
      <c r="P591" s="9" t="str">
        <f>IF(O591="","",(O591/(N591)*365))</f>
        <v/>
      </c>
      <c r="Q591" s="10"/>
    </row>
    <row r="592" spans="1:17" x14ac:dyDescent="0.15">
      <c r="A592" s="21"/>
      <c r="B592" s="20"/>
      <c r="C592" s="20"/>
      <c r="D592" s="20"/>
      <c r="E592" s="20"/>
      <c r="F592" s="21"/>
      <c r="G592" s="22"/>
      <c r="H592" s="11"/>
      <c r="I592" s="15"/>
      <c r="J592" s="15"/>
      <c r="K592" s="14"/>
      <c r="L592" s="22"/>
      <c r="M592" s="32" t="str">
        <f t="shared" si="11"/>
        <v/>
      </c>
      <c r="N592" s="16" t="str">
        <f t="shared" si="12"/>
        <v/>
      </c>
      <c r="O592" s="17" t="str">
        <f>IF(J592="","",M592/L592)</f>
        <v/>
      </c>
      <c r="P592" s="18" t="str">
        <f>IF(O592="","",(O592/(N592)*365))</f>
        <v/>
      </c>
      <c r="Q592" s="19"/>
    </row>
    <row r="593" spans="1:17" x14ac:dyDescent="0.15">
      <c r="A593" s="23"/>
      <c r="B593" s="3"/>
      <c r="C593" s="3"/>
      <c r="D593" s="3"/>
      <c r="E593" s="3"/>
      <c r="F593" s="23"/>
      <c r="G593" s="24"/>
      <c r="H593" s="1"/>
      <c r="I593" s="6"/>
      <c r="J593" s="6"/>
      <c r="K593" s="5"/>
      <c r="L593" s="24"/>
      <c r="M593" s="31" t="str">
        <f t="shared" si="11"/>
        <v/>
      </c>
      <c r="N593" s="7" t="str">
        <f t="shared" si="12"/>
        <v/>
      </c>
      <c r="O593" s="8" t="str">
        <f>IF(J593="","",M593/L593)</f>
        <v/>
      </c>
      <c r="P593" s="9" t="str">
        <f>IF(O593="","",(O593/(N593)*365))</f>
        <v/>
      </c>
      <c r="Q593" s="10"/>
    </row>
    <row r="594" spans="1:17" x14ac:dyDescent="0.15">
      <c r="A594" s="21"/>
      <c r="B594" s="20"/>
      <c r="C594" s="20"/>
      <c r="D594" s="20"/>
      <c r="E594" s="20"/>
      <c r="F594" s="21"/>
      <c r="G594" s="22"/>
      <c r="H594" s="11"/>
      <c r="I594" s="15"/>
      <c r="J594" s="15"/>
      <c r="K594" s="14"/>
      <c r="L594" s="22"/>
      <c r="M594" s="32" t="str">
        <f t="shared" si="11"/>
        <v/>
      </c>
      <c r="N594" s="16" t="str">
        <f t="shared" si="12"/>
        <v/>
      </c>
      <c r="O594" s="17" t="str">
        <f>IF(J594="","",M594/L594)</f>
        <v/>
      </c>
      <c r="P594" s="18" t="str">
        <f>IF(O594="","",(O594/(N594)*365))</f>
        <v/>
      </c>
      <c r="Q594" s="19"/>
    </row>
    <row r="595" spans="1:17" x14ac:dyDescent="0.15">
      <c r="A595" s="23"/>
      <c r="B595" s="3"/>
      <c r="C595" s="3"/>
      <c r="D595" s="3"/>
      <c r="E595" s="3"/>
      <c r="F595" s="23"/>
      <c r="G595" s="24"/>
      <c r="H595" s="1"/>
      <c r="I595" s="6"/>
      <c r="J595" s="6"/>
      <c r="K595" s="5"/>
      <c r="L595" s="24"/>
      <c r="M595" s="31" t="str">
        <f t="shared" si="11"/>
        <v/>
      </c>
      <c r="N595" s="7" t="str">
        <f t="shared" si="12"/>
        <v/>
      </c>
      <c r="O595" s="8" t="str">
        <f>IF(J595="","",M595/L595)</f>
        <v/>
      </c>
      <c r="P595" s="9" t="str">
        <f>IF(O595="","",(O595/(N595)*365))</f>
        <v/>
      </c>
      <c r="Q595" s="10"/>
    </row>
    <row r="596" spans="1:17" x14ac:dyDescent="0.15">
      <c r="A596" s="21"/>
      <c r="B596" s="20"/>
      <c r="C596" s="20"/>
      <c r="D596" s="20"/>
      <c r="E596" s="20"/>
      <c r="F596" s="21"/>
      <c r="G596" s="22"/>
      <c r="H596" s="11"/>
      <c r="I596" s="15"/>
      <c r="J596" s="15"/>
      <c r="K596" s="14"/>
      <c r="L596" s="22"/>
      <c r="M596" s="32" t="str">
        <f t="shared" si="11"/>
        <v/>
      </c>
      <c r="N596" s="16" t="str">
        <f t="shared" si="12"/>
        <v/>
      </c>
      <c r="O596" s="17" t="str">
        <f>IF(J596="","",M596/L596)</f>
        <v/>
      </c>
      <c r="P596" s="18" t="str">
        <f>IF(O596="","",(O596/(N596)*365))</f>
        <v/>
      </c>
      <c r="Q596" s="19"/>
    </row>
    <row r="597" spans="1:17" x14ac:dyDescent="0.15">
      <c r="A597" s="23"/>
      <c r="B597" s="3"/>
      <c r="C597" s="3"/>
      <c r="D597" s="3"/>
      <c r="E597" s="3"/>
      <c r="F597" s="23"/>
      <c r="G597" s="24"/>
      <c r="H597" s="1"/>
      <c r="I597" s="6"/>
      <c r="J597" s="6"/>
      <c r="K597" s="5"/>
      <c r="L597" s="24"/>
      <c r="M597" s="31" t="str">
        <f t="shared" si="11"/>
        <v/>
      </c>
      <c r="N597" s="7" t="str">
        <f t="shared" si="12"/>
        <v/>
      </c>
      <c r="O597" s="8" t="str">
        <f>IF(J597="","",M597/L597)</f>
        <v/>
      </c>
      <c r="P597" s="9" t="str">
        <f>IF(O597="","",(O597/(N597)*365))</f>
        <v/>
      </c>
      <c r="Q597" s="10"/>
    </row>
    <row r="598" spans="1:17" x14ac:dyDescent="0.15">
      <c r="A598" s="21"/>
      <c r="B598" s="20"/>
      <c r="C598" s="20"/>
      <c r="D598" s="20"/>
      <c r="E598" s="20"/>
      <c r="F598" s="21"/>
      <c r="G598" s="22"/>
      <c r="H598" s="11"/>
      <c r="I598" s="15"/>
      <c r="J598" s="15"/>
      <c r="K598" s="14"/>
      <c r="L598" s="22"/>
      <c r="M598" s="32" t="str">
        <f t="shared" si="11"/>
        <v/>
      </c>
      <c r="N598" s="16" t="str">
        <f t="shared" si="12"/>
        <v/>
      </c>
      <c r="O598" s="17" t="str">
        <f>IF(J598="","",M598/L598)</f>
        <v/>
      </c>
      <c r="P598" s="18" t="str">
        <f>IF(O598="","",(O598/(N598)*365))</f>
        <v/>
      </c>
      <c r="Q598" s="19"/>
    </row>
    <row r="599" spans="1:17" x14ac:dyDescent="0.15">
      <c r="A599" s="23"/>
      <c r="B599" s="3"/>
      <c r="C599" s="3"/>
      <c r="D599" s="3"/>
      <c r="E599" s="3"/>
      <c r="F599" s="23"/>
      <c r="G599" s="24"/>
      <c r="H599" s="1"/>
      <c r="I599" s="6"/>
      <c r="J599" s="6"/>
      <c r="K599" s="5"/>
      <c r="L599" s="24"/>
      <c r="M599" s="31" t="str">
        <f t="shared" si="11"/>
        <v/>
      </c>
      <c r="N599" s="7" t="str">
        <f t="shared" si="12"/>
        <v/>
      </c>
      <c r="O599" s="8" t="str">
        <f>IF(J599="","",M599/L599)</f>
        <v/>
      </c>
      <c r="P599" s="9" t="str">
        <f>IF(O599="","",(O599/(N599)*365))</f>
        <v/>
      </c>
      <c r="Q599" s="10"/>
    </row>
    <row r="600" spans="1:17" x14ac:dyDescent="0.15">
      <c r="A600" s="21"/>
      <c r="B600" s="20"/>
      <c r="C600" s="20"/>
      <c r="D600" s="20"/>
      <c r="E600" s="20"/>
      <c r="F600" s="21"/>
      <c r="G600" s="22"/>
      <c r="H600" s="11"/>
      <c r="I600" s="15"/>
      <c r="J600" s="15"/>
      <c r="K600" s="14"/>
      <c r="L600" s="22"/>
      <c r="M600" s="32" t="str">
        <f t="shared" si="11"/>
        <v/>
      </c>
      <c r="N600" s="16" t="str">
        <f t="shared" si="12"/>
        <v/>
      </c>
      <c r="O600" s="17" t="str">
        <f>IF(J600="","",M600/L600)</f>
        <v/>
      </c>
      <c r="P600" s="18" t="str">
        <f>IF(O600="","",(O600/(N600)*365))</f>
        <v/>
      </c>
      <c r="Q600" s="19"/>
    </row>
    <row r="601" spans="1:17" x14ac:dyDescent="0.15">
      <c r="A601" s="23"/>
      <c r="B601" s="3"/>
      <c r="C601" s="3"/>
      <c r="D601" s="3"/>
      <c r="E601" s="3"/>
      <c r="F601" s="23"/>
      <c r="G601" s="24"/>
      <c r="H601" s="1"/>
      <c r="I601" s="6"/>
      <c r="J601" s="6"/>
      <c r="K601" s="5"/>
      <c r="L601" s="24"/>
      <c r="M601" s="31" t="str">
        <f t="shared" si="11"/>
        <v/>
      </c>
      <c r="N601" s="7" t="str">
        <f t="shared" si="12"/>
        <v/>
      </c>
      <c r="O601" s="8" t="str">
        <f>IF(J601="","",M601/L601)</f>
        <v/>
      </c>
      <c r="P601" s="9" t="str">
        <f>IF(O601="","",(O601/(N601)*365))</f>
        <v/>
      </c>
      <c r="Q601" s="10"/>
    </row>
    <row r="602" spans="1:17" x14ac:dyDescent="0.15">
      <c r="A602" s="21"/>
      <c r="B602" s="20"/>
      <c r="C602" s="20"/>
      <c r="D602" s="20"/>
      <c r="E602" s="20"/>
      <c r="F602" s="21"/>
      <c r="G602" s="22"/>
      <c r="H602" s="11"/>
      <c r="I602" s="15"/>
      <c r="J602" s="15"/>
      <c r="K602" s="14"/>
      <c r="L602" s="22"/>
      <c r="M602" s="32" t="str">
        <f t="shared" si="11"/>
        <v/>
      </c>
      <c r="N602" s="16" t="str">
        <f t="shared" si="12"/>
        <v/>
      </c>
      <c r="O602" s="17" t="str">
        <f>IF(J602="","",M602/L602)</f>
        <v/>
      </c>
      <c r="P602" s="18" t="str">
        <f>IF(O602="","",(O602/(N602)*365))</f>
        <v/>
      </c>
      <c r="Q602" s="19"/>
    </row>
    <row r="603" spans="1:17" x14ac:dyDescent="0.15">
      <c r="A603" s="23"/>
      <c r="B603" s="3"/>
      <c r="C603" s="3"/>
      <c r="D603" s="3"/>
      <c r="E603" s="3"/>
      <c r="F603" s="23"/>
      <c r="G603" s="24"/>
      <c r="H603" s="1"/>
      <c r="I603" s="6"/>
      <c r="J603" s="6"/>
      <c r="K603" s="5"/>
      <c r="L603" s="24"/>
      <c r="M603" s="31" t="str">
        <f t="shared" si="11"/>
        <v/>
      </c>
      <c r="N603" s="7" t="str">
        <f t="shared" si="12"/>
        <v/>
      </c>
      <c r="O603" s="8" t="str">
        <f>IF(J603="","",M603/L603)</f>
        <v/>
      </c>
      <c r="P603" s="9" t="str">
        <f>IF(O603="","",(O603/(N603)*365))</f>
        <v/>
      </c>
      <c r="Q603" s="10"/>
    </row>
    <row r="604" spans="1:17" x14ac:dyDescent="0.15">
      <c r="A604" s="21"/>
      <c r="B604" s="20"/>
      <c r="C604" s="20"/>
      <c r="D604" s="20"/>
      <c r="E604" s="20"/>
      <c r="F604" s="21"/>
      <c r="G604" s="22"/>
      <c r="H604" s="11"/>
      <c r="I604" s="15"/>
      <c r="J604" s="15"/>
      <c r="K604" s="14"/>
      <c r="L604" s="22"/>
      <c r="M604" s="32" t="str">
        <f t="shared" si="11"/>
        <v/>
      </c>
      <c r="N604" s="16" t="str">
        <f t="shared" si="12"/>
        <v/>
      </c>
      <c r="O604" s="17" t="str">
        <f>IF(J604="","",M604/L604)</f>
        <v/>
      </c>
      <c r="P604" s="18" t="str">
        <f>IF(O604="","",(O604/(N604)*365))</f>
        <v/>
      </c>
      <c r="Q604" s="19"/>
    </row>
    <row r="605" spans="1:17" x14ac:dyDescent="0.15">
      <c r="A605" s="23"/>
      <c r="B605" s="3"/>
      <c r="C605" s="3"/>
      <c r="D605" s="3"/>
      <c r="E605" s="3"/>
      <c r="F605" s="23"/>
      <c r="G605" s="24"/>
      <c r="H605" s="1"/>
      <c r="I605" s="6"/>
      <c r="J605" s="6"/>
      <c r="K605" s="5"/>
      <c r="L605" s="24"/>
      <c r="M605" s="31" t="str">
        <f t="shared" si="11"/>
        <v/>
      </c>
      <c r="N605" s="7" t="str">
        <f t="shared" si="12"/>
        <v/>
      </c>
      <c r="O605" s="8" t="str">
        <f>IF(J605="","",M605/L605)</f>
        <v/>
      </c>
      <c r="P605" s="9" t="str">
        <f>IF(O605="","",(O605/(N605)*365))</f>
        <v/>
      </c>
      <c r="Q605" s="10"/>
    </row>
    <row r="606" spans="1:17" x14ac:dyDescent="0.15">
      <c r="A606" s="21"/>
      <c r="B606" s="20"/>
      <c r="C606" s="20"/>
      <c r="D606" s="20"/>
      <c r="E606" s="20"/>
      <c r="F606" s="21"/>
      <c r="G606" s="22"/>
      <c r="H606" s="11"/>
      <c r="I606" s="15"/>
      <c r="J606" s="15"/>
      <c r="K606" s="14"/>
      <c r="L606" s="22"/>
      <c r="M606" s="32" t="str">
        <f t="shared" si="11"/>
        <v/>
      </c>
      <c r="N606" s="16" t="str">
        <f t="shared" si="12"/>
        <v/>
      </c>
      <c r="O606" s="17" t="str">
        <f>IF(J606="","",M606/L606)</f>
        <v/>
      </c>
      <c r="P606" s="18" t="str">
        <f>IF(O606="","",(O606/(N606)*365))</f>
        <v/>
      </c>
      <c r="Q606" s="19"/>
    </row>
    <row r="607" spans="1:17" x14ac:dyDescent="0.15">
      <c r="A607" s="23"/>
      <c r="B607" s="3"/>
      <c r="C607" s="3"/>
      <c r="D607" s="3"/>
      <c r="E607" s="3"/>
      <c r="F607" s="23"/>
      <c r="G607" s="24"/>
      <c r="H607" s="1"/>
      <c r="I607" s="6"/>
      <c r="J607" s="6"/>
      <c r="K607" s="5"/>
      <c r="L607" s="24"/>
      <c r="M607" s="31" t="str">
        <f t="shared" si="11"/>
        <v/>
      </c>
      <c r="N607" s="7" t="str">
        <f t="shared" si="12"/>
        <v/>
      </c>
      <c r="O607" s="8" t="str">
        <f>IF(J607="","",M607/L607)</f>
        <v/>
      </c>
      <c r="P607" s="9" t="str">
        <f>IF(O607="","",(O607/(N607)*365))</f>
        <v/>
      </c>
      <c r="Q607" s="10"/>
    </row>
    <row r="608" spans="1:17" x14ac:dyDescent="0.15">
      <c r="A608" s="21"/>
      <c r="B608" s="20"/>
      <c r="C608" s="20"/>
      <c r="D608" s="20"/>
      <c r="E608" s="20"/>
      <c r="F608" s="21"/>
      <c r="G608" s="22"/>
      <c r="H608" s="11"/>
      <c r="I608" s="15"/>
      <c r="J608" s="15"/>
      <c r="K608" s="14"/>
      <c r="L608" s="22"/>
      <c r="M608" s="32" t="str">
        <f t="shared" si="11"/>
        <v/>
      </c>
      <c r="N608" s="16" t="str">
        <f t="shared" si="12"/>
        <v/>
      </c>
      <c r="O608" s="17" t="str">
        <f>IF(J608="","",M608/L608)</f>
        <v/>
      </c>
      <c r="P608" s="18" t="str">
        <f>IF(O608="","",(O608/(N608)*365))</f>
        <v/>
      </c>
      <c r="Q608" s="19"/>
    </row>
    <row r="609" spans="1:17" x14ac:dyDescent="0.15">
      <c r="A609" s="23"/>
      <c r="B609" s="3"/>
      <c r="C609" s="3"/>
      <c r="D609" s="3"/>
      <c r="E609" s="3"/>
      <c r="F609" s="23"/>
      <c r="G609" s="24"/>
      <c r="H609" s="1"/>
      <c r="I609" s="6"/>
      <c r="J609" s="6"/>
      <c r="K609" s="5"/>
      <c r="L609" s="24"/>
      <c r="M609" s="31" t="str">
        <f t="shared" si="11"/>
        <v/>
      </c>
      <c r="N609" s="7" t="str">
        <f t="shared" si="12"/>
        <v/>
      </c>
      <c r="O609" s="8" t="str">
        <f>IF(J609="","",M609/L609)</f>
        <v/>
      </c>
      <c r="P609" s="9" t="str">
        <f>IF(O609="","",(O609/(N609)*365))</f>
        <v/>
      </c>
      <c r="Q609" s="10"/>
    </row>
    <row r="610" spans="1:17" x14ac:dyDescent="0.15">
      <c r="A610" s="21"/>
      <c r="B610" s="20"/>
      <c r="C610" s="20"/>
      <c r="D610" s="20"/>
      <c r="E610" s="20"/>
      <c r="F610" s="21"/>
      <c r="G610" s="22"/>
      <c r="H610" s="11"/>
      <c r="I610" s="15"/>
      <c r="J610" s="15"/>
      <c r="K610" s="14"/>
      <c r="L610" s="22"/>
      <c r="M610" s="32" t="str">
        <f t="shared" si="11"/>
        <v/>
      </c>
      <c r="N610" s="16" t="str">
        <f t="shared" si="12"/>
        <v/>
      </c>
      <c r="O610" s="17" t="str">
        <f>IF(J610="","",M610/L610)</f>
        <v/>
      </c>
      <c r="P610" s="18" t="str">
        <f>IF(O610="","",(O610/(N610)*365))</f>
        <v/>
      </c>
      <c r="Q610" s="19"/>
    </row>
    <row r="611" spans="1:17" x14ac:dyDescent="0.15">
      <c r="A611" s="23"/>
      <c r="B611" s="3"/>
      <c r="C611" s="3"/>
      <c r="D611" s="3"/>
      <c r="E611" s="3"/>
      <c r="F611" s="23"/>
      <c r="G611" s="24"/>
      <c r="H611" s="1"/>
      <c r="I611" s="6"/>
      <c r="J611" s="6"/>
      <c r="K611" s="5"/>
      <c r="L611" s="24"/>
      <c r="M611" s="31" t="str">
        <f t="shared" si="11"/>
        <v/>
      </c>
      <c r="N611" s="7" t="str">
        <f t="shared" si="12"/>
        <v/>
      </c>
      <c r="O611" s="8" t="str">
        <f>IF(J611="","",M611/L611)</f>
        <v/>
      </c>
      <c r="P611" s="9" t="str">
        <f>IF(O611="","",(O611/(N611)*365))</f>
        <v/>
      </c>
      <c r="Q611" s="10"/>
    </row>
    <row r="612" spans="1:17" x14ac:dyDescent="0.15">
      <c r="A612" s="21"/>
      <c r="B612" s="20"/>
      <c r="C612" s="20"/>
      <c r="D612" s="20"/>
      <c r="E612" s="20"/>
      <c r="F612" s="21"/>
      <c r="G612" s="22"/>
      <c r="H612" s="11"/>
      <c r="I612" s="15"/>
      <c r="J612" s="15"/>
      <c r="K612" s="14"/>
      <c r="L612" s="22"/>
      <c r="M612" s="32" t="str">
        <f t="shared" si="11"/>
        <v/>
      </c>
      <c r="N612" s="16" t="str">
        <f t="shared" si="12"/>
        <v/>
      </c>
      <c r="O612" s="17" t="str">
        <f>IF(J612="","",M612/L612)</f>
        <v/>
      </c>
      <c r="P612" s="18" t="str">
        <f>IF(O612="","",(O612/(N612)*365))</f>
        <v/>
      </c>
      <c r="Q612" s="19"/>
    </row>
    <row r="613" spans="1:17" x14ac:dyDescent="0.15">
      <c r="A613" s="23"/>
      <c r="B613" s="3"/>
      <c r="C613" s="3"/>
      <c r="D613" s="3"/>
      <c r="E613" s="3"/>
      <c r="F613" s="23"/>
      <c r="G613" s="24"/>
      <c r="H613" s="1"/>
      <c r="I613" s="6"/>
      <c r="J613" s="6"/>
      <c r="K613" s="5"/>
      <c r="L613" s="24"/>
      <c r="M613" s="31" t="str">
        <f t="shared" si="11"/>
        <v/>
      </c>
      <c r="N613" s="7" t="str">
        <f t="shared" si="12"/>
        <v/>
      </c>
      <c r="O613" s="8" t="str">
        <f>IF(J613="","",M613/L613)</f>
        <v/>
      </c>
      <c r="P613" s="9" t="str">
        <f>IF(O613="","",(O613/(N613)*365))</f>
        <v/>
      </c>
      <c r="Q613" s="10"/>
    </row>
    <row r="614" spans="1:17" x14ac:dyDescent="0.15">
      <c r="A614" s="21"/>
      <c r="B614" s="20"/>
      <c r="C614" s="20"/>
      <c r="D614" s="20"/>
      <c r="E614" s="20"/>
      <c r="F614" s="21"/>
      <c r="G614" s="22"/>
      <c r="H614" s="11"/>
      <c r="I614" s="15"/>
      <c r="J614" s="15"/>
      <c r="K614" s="14"/>
      <c r="L614" s="22"/>
      <c r="M614" s="32" t="str">
        <f t="shared" si="11"/>
        <v/>
      </c>
      <c r="N614" s="16" t="str">
        <f t="shared" si="12"/>
        <v/>
      </c>
      <c r="O614" s="17" t="str">
        <f>IF(J614="","",M614/L614)</f>
        <v/>
      </c>
      <c r="P614" s="18" t="str">
        <f>IF(O614="","",(O614/(N614)*365))</f>
        <v/>
      </c>
      <c r="Q614" s="19"/>
    </row>
    <row r="615" spans="1:17" x14ac:dyDescent="0.15">
      <c r="A615" s="23"/>
      <c r="B615" s="3"/>
      <c r="C615" s="3"/>
      <c r="D615" s="3"/>
      <c r="E615" s="3"/>
      <c r="F615" s="23"/>
      <c r="G615" s="24"/>
      <c r="H615" s="1"/>
      <c r="I615" s="6"/>
      <c r="J615" s="6"/>
      <c r="K615" s="5"/>
      <c r="L615" s="24"/>
      <c r="M615" s="31" t="str">
        <f t="shared" si="11"/>
        <v/>
      </c>
      <c r="N615" s="7" t="str">
        <f t="shared" si="12"/>
        <v/>
      </c>
      <c r="O615" s="8" t="str">
        <f>IF(J615="","",M615/L615)</f>
        <v/>
      </c>
      <c r="P615" s="9" t="str">
        <f>IF(O615="","",(O615/(N615)*365))</f>
        <v/>
      </c>
      <c r="Q615" s="10"/>
    </row>
    <row r="616" spans="1:17" x14ac:dyDescent="0.15">
      <c r="A616" s="21"/>
      <c r="B616" s="20"/>
      <c r="C616" s="20"/>
      <c r="D616" s="20"/>
      <c r="E616" s="20"/>
      <c r="F616" s="21"/>
      <c r="G616" s="22"/>
      <c r="H616" s="11"/>
      <c r="I616" s="15"/>
      <c r="J616" s="15"/>
      <c r="K616" s="14"/>
      <c r="L616" s="22"/>
      <c r="M616" s="32" t="str">
        <f t="shared" si="11"/>
        <v/>
      </c>
      <c r="N616" s="16" t="str">
        <f t="shared" si="12"/>
        <v/>
      </c>
      <c r="O616" s="17" t="str">
        <f>IF(J616="","",M616/L616)</f>
        <v/>
      </c>
      <c r="P616" s="18" t="str">
        <f>IF(O616="","",(O616/(N616)*365))</f>
        <v/>
      </c>
      <c r="Q616" s="19"/>
    </row>
    <row r="617" spans="1:17" x14ac:dyDescent="0.15">
      <c r="A617" s="23"/>
      <c r="B617" s="3"/>
      <c r="C617" s="3"/>
      <c r="D617" s="3"/>
      <c r="E617" s="3"/>
      <c r="F617" s="23"/>
      <c r="G617" s="24"/>
      <c r="H617" s="1"/>
      <c r="I617" s="6"/>
      <c r="J617" s="6"/>
      <c r="K617" s="5"/>
      <c r="L617" s="24"/>
      <c r="M617" s="31" t="str">
        <f t="shared" si="11"/>
        <v/>
      </c>
      <c r="N617" s="7" t="str">
        <f t="shared" si="12"/>
        <v/>
      </c>
      <c r="O617" s="8" t="str">
        <f>IF(J617="","",M617/L617)</f>
        <v/>
      </c>
      <c r="P617" s="9" t="str">
        <f>IF(O617="","",(O617/(N617)*365))</f>
        <v/>
      </c>
      <c r="Q617" s="10"/>
    </row>
    <row r="618" spans="1:17" x14ac:dyDescent="0.15">
      <c r="A618" s="21"/>
      <c r="B618" s="20"/>
      <c r="C618" s="20"/>
      <c r="D618" s="20"/>
      <c r="E618" s="20"/>
      <c r="F618" s="21"/>
      <c r="G618" s="22"/>
      <c r="H618" s="11"/>
      <c r="I618" s="15"/>
      <c r="J618" s="15"/>
      <c r="K618" s="14"/>
      <c r="L618" s="22"/>
      <c r="M618" s="32" t="str">
        <f t="shared" si="11"/>
        <v/>
      </c>
      <c r="N618" s="16" t="str">
        <f t="shared" si="12"/>
        <v/>
      </c>
      <c r="O618" s="17" t="str">
        <f>IF(J618="","",M618/L618)</f>
        <v/>
      </c>
      <c r="P618" s="18" t="str">
        <f>IF(O618="","",(O618/(N618)*365))</f>
        <v/>
      </c>
      <c r="Q618" s="19"/>
    </row>
    <row r="619" spans="1:17" x14ac:dyDescent="0.15">
      <c r="A619" s="23"/>
      <c r="B619" s="3"/>
      <c r="C619" s="3"/>
      <c r="D619" s="3"/>
      <c r="E619" s="3"/>
      <c r="F619" s="23"/>
      <c r="G619" s="24"/>
      <c r="H619" s="1"/>
      <c r="I619" s="6"/>
      <c r="J619" s="6"/>
      <c r="K619" s="5"/>
      <c r="L619" s="24"/>
      <c r="M619" s="31" t="str">
        <f t="shared" si="11"/>
        <v/>
      </c>
      <c r="N619" s="7" t="str">
        <f t="shared" si="12"/>
        <v/>
      </c>
      <c r="O619" s="8" t="str">
        <f>IF(J619="","",M619/L619)</f>
        <v/>
      </c>
      <c r="P619" s="9" t="str">
        <f>IF(O619="","",(O619/(N619)*365))</f>
        <v/>
      </c>
      <c r="Q619" s="10"/>
    </row>
    <row r="620" spans="1:17" x14ac:dyDescent="0.15">
      <c r="A620" s="21"/>
      <c r="B620" s="20"/>
      <c r="C620" s="20"/>
      <c r="D620" s="20"/>
      <c r="E620" s="20"/>
      <c r="F620" s="21"/>
      <c r="G620" s="22"/>
      <c r="H620" s="11"/>
      <c r="I620" s="15"/>
      <c r="J620" s="15"/>
      <c r="K620" s="14"/>
      <c r="L620" s="22"/>
      <c r="M620" s="32" t="str">
        <f t="shared" si="11"/>
        <v/>
      </c>
      <c r="N620" s="16" t="str">
        <f t="shared" si="12"/>
        <v/>
      </c>
      <c r="O620" s="17" t="str">
        <f>IF(J620="","",M620/L620)</f>
        <v/>
      </c>
      <c r="P620" s="18" t="str">
        <f>IF(O620="","",(O620/(N620)*365))</f>
        <v/>
      </c>
      <c r="Q620" s="19"/>
    </row>
    <row r="621" spans="1:17" x14ac:dyDescent="0.15">
      <c r="A621" s="23"/>
      <c r="B621" s="3"/>
      <c r="C621" s="3"/>
      <c r="D621" s="3"/>
      <c r="E621" s="3"/>
      <c r="F621" s="23"/>
      <c r="G621" s="24"/>
      <c r="H621" s="1"/>
      <c r="I621" s="6"/>
      <c r="J621" s="6"/>
      <c r="K621" s="5"/>
      <c r="L621" s="24"/>
      <c r="M621" s="31" t="str">
        <f t="shared" si="11"/>
        <v/>
      </c>
      <c r="N621" s="7" t="str">
        <f t="shared" si="12"/>
        <v/>
      </c>
      <c r="O621" s="8" t="str">
        <f>IF(J621="","",M621/L621)</f>
        <v/>
      </c>
      <c r="P621" s="9" t="str">
        <f>IF(O621="","",(O621/(N621)*365))</f>
        <v/>
      </c>
      <c r="Q621" s="10"/>
    </row>
    <row r="622" spans="1:17" x14ac:dyDescent="0.15">
      <c r="A622" s="21"/>
      <c r="B622" s="20"/>
      <c r="C622" s="20"/>
      <c r="D622" s="20"/>
      <c r="E622" s="20"/>
      <c r="F622" s="21"/>
      <c r="G622" s="22"/>
      <c r="H622" s="11"/>
      <c r="I622" s="15"/>
      <c r="J622" s="15"/>
      <c r="K622" s="14"/>
      <c r="L622" s="22"/>
      <c r="M622" s="32" t="str">
        <f t="shared" si="11"/>
        <v/>
      </c>
      <c r="N622" s="16" t="str">
        <f t="shared" si="12"/>
        <v/>
      </c>
      <c r="O622" s="17" t="str">
        <f>IF(J622="","",M622/L622)</f>
        <v/>
      </c>
      <c r="P622" s="18" t="str">
        <f>IF(O622="","",(O622/(N622)*365))</f>
        <v/>
      </c>
      <c r="Q622" s="19"/>
    </row>
    <row r="623" spans="1:17" x14ac:dyDescent="0.15">
      <c r="A623" s="23"/>
      <c r="B623" s="3"/>
      <c r="C623" s="3"/>
      <c r="D623" s="3"/>
      <c r="E623" s="3"/>
      <c r="F623" s="23"/>
      <c r="G623" s="24"/>
      <c r="H623" s="1"/>
      <c r="I623" s="6"/>
      <c r="J623" s="6"/>
      <c r="K623" s="5"/>
      <c r="L623" s="24"/>
      <c r="M623" s="31" t="str">
        <f t="shared" si="11"/>
        <v/>
      </c>
      <c r="N623" s="7" t="str">
        <f t="shared" si="12"/>
        <v/>
      </c>
      <c r="O623" s="8" t="str">
        <f>IF(J623="","",M623/L623)</f>
        <v/>
      </c>
      <c r="P623" s="9" t="str">
        <f>IF(O623="","",(O623/(N623)*365))</f>
        <v/>
      </c>
      <c r="Q623" s="10"/>
    </row>
    <row r="624" spans="1:17" x14ac:dyDescent="0.15">
      <c r="A624" s="21"/>
      <c r="B624" s="20"/>
      <c r="C624" s="20"/>
      <c r="D624" s="20"/>
      <c r="E624" s="20"/>
      <c r="F624" s="21"/>
      <c r="G624" s="22"/>
      <c r="H624" s="11"/>
      <c r="I624" s="15"/>
      <c r="J624" s="15"/>
      <c r="K624" s="14"/>
      <c r="L624" s="22"/>
      <c r="M624" s="32" t="str">
        <f t="shared" si="11"/>
        <v/>
      </c>
      <c r="N624" s="16" t="str">
        <f t="shared" si="12"/>
        <v/>
      </c>
      <c r="O624" s="17" t="str">
        <f>IF(J624="","",M624/L624)</f>
        <v/>
      </c>
      <c r="P624" s="18" t="str">
        <f>IF(O624="","",(O624/(N624)*365))</f>
        <v/>
      </c>
      <c r="Q624" s="19"/>
    </row>
    <row r="625" spans="1:17" x14ac:dyDescent="0.15">
      <c r="A625" s="23"/>
      <c r="B625" s="3"/>
      <c r="C625" s="3"/>
      <c r="D625" s="3"/>
      <c r="E625" s="3"/>
      <c r="F625" s="23"/>
      <c r="G625" s="24"/>
      <c r="H625" s="1"/>
      <c r="I625" s="6"/>
      <c r="J625" s="6"/>
      <c r="K625" s="5"/>
      <c r="L625" s="24"/>
      <c r="M625" s="31" t="str">
        <f t="shared" si="11"/>
        <v/>
      </c>
      <c r="N625" s="7" t="str">
        <f t="shared" si="12"/>
        <v/>
      </c>
      <c r="O625" s="8" t="str">
        <f>IF(J625="","",M625/L625)</f>
        <v/>
      </c>
      <c r="P625" s="9" t="str">
        <f>IF(O625="","",(O625/(N625)*365))</f>
        <v/>
      </c>
      <c r="Q625" s="10"/>
    </row>
    <row r="626" spans="1:17" x14ac:dyDescent="0.15">
      <c r="A626" s="21"/>
      <c r="B626" s="20"/>
      <c r="C626" s="20"/>
      <c r="D626" s="20"/>
      <c r="E626" s="20"/>
      <c r="F626" s="21"/>
      <c r="G626" s="22"/>
      <c r="H626" s="11"/>
      <c r="I626" s="15"/>
      <c r="J626" s="15"/>
      <c r="K626" s="14"/>
      <c r="L626" s="22"/>
      <c r="M626" s="32" t="str">
        <f t="shared" si="11"/>
        <v/>
      </c>
      <c r="N626" s="16" t="str">
        <f t="shared" si="12"/>
        <v/>
      </c>
      <c r="O626" s="17" t="str">
        <f>IF(J626="","",M626/L626)</f>
        <v/>
      </c>
      <c r="P626" s="18" t="str">
        <f>IF(O626="","",(O626/(N626)*365))</f>
        <v/>
      </c>
      <c r="Q626" s="19"/>
    </row>
    <row r="627" spans="1:17" x14ac:dyDescent="0.15">
      <c r="A627" s="23"/>
      <c r="B627" s="3"/>
      <c r="C627" s="3"/>
      <c r="D627" s="3"/>
      <c r="E627" s="3"/>
      <c r="F627" s="23"/>
      <c r="G627" s="24"/>
      <c r="H627" s="1"/>
      <c r="I627" s="6"/>
      <c r="J627" s="6"/>
      <c r="K627" s="5"/>
      <c r="L627" s="24"/>
      <c r="M627" s="31" t="str">
        <f t="shared" si="11"/>
        <v/>
      </c>
      <c r="N627" s="7" t="str">
        <f t="shared" si="12"/>
        <v/>
      </c>
      <c r="O627" s="8" t="str">
        <f>IF(J627="","",M627/L627)</f>
        <v/>
      </c>
      <c r="P627" s="9" t="str">
        <f>IF(O627="","",(O627/(N627)*365))</f>
        <v/>
      </c>
      <c r="Q627" s="10"/>
    </row>
    <row r="628" spans="1:17" x14ac:dyDescent="0.15">
      <c r="A628" s="21"/>
      <c r="B628" s="20"/>
      <c r="C628" s="20"/>
      <c r="D628" s="20"/>
      <c r="E628" s="20"/>
      <c r="F628" s="21"/>
      <c r="G628" s="22"/>
      <c r="H628" s="11"/>
      <c r="I628" s="15"/>
      <c r="J628" s="15"/>
      <c r="K628" s="14"/>
      <c r="L628" s="22"/>
      <c r="M628" s="32" t="str">
        <f t="shared" si="11"/>
        <v/>
      </c>
      <c r="N628" s="16" t="str">
        <f t="shared" si="12"/>
        <v/>
      </c>
      <c r="O628" s="17" t="str">
        <f>IF(J628="","",M628/L628)</f>
        <v/>
      </c>
      <c r="P628" s="18" t="str">
        <f>IF(O628="","",(O628/(N628)*365))</f>
        <v/>
      </c>
      <c r="Q628" s="19"/>
    </row>
    <row r="629" spans="1:17" x14ac:dyDescent="0.15">
      <c r="A629" s="23"/>
      <c r="B629" s="3"/>
      <c r="C629" s="3"/>
      <c r="D629" s="3"/>
      <c r="E629" s="3"/>
      <c r="F629" s="23"/>
      <c r="G629" s="24"/>
      <c r="H629" s="1"/>
      <c r="I629" s="6"/>
      <c r="J629" s="6"/>
      <c r="K629" s="5"/>
      <c r="L629" s="24"/>
      <c r="M629" s="31" t="str">
        <f t="shared" si="11"/>
        <v/>
      </c>
      <c r="N629" s="7" t="str">
        <f t="shared" si="12"/>
        <v/>
      </c>
      <c r="O629" s="8" t="str">
        <f>IF(J629="","",M629/L629)</f>
        <v/>
      </c>
      <c r="P629" s="9" t="str">
        <f>IF(O629="","",(O629/(N629)*365))</f>
        <v/>
      </c>
      <c r="Q629" s="10"/>
    </row>
    <row r="630" spans="1:17" x14ac:dyDescent="0.15">
      <c r="A630" s="21"/>
      <c r="B630" s="20"/>
      <c r="C630" s="20"/>
      <c r="D630" s="20"/>
      <c r="E630" s="20"/>
      <c r="F630" s="21"/>
      <c r="G630" s="22"/>
      <c r="H630" s="11"/>
      <c r="I630" s="15"/>
      <c r="J630" s="15"/>
      <c r="K630" s="14"/>
      <c r="L630" s="22"/>
      <c r="M630" s="32" t="str">
        <f t="shared" si="11"/>
        <v/>
      </c>
      <c r="N630" s="16" t="str">
        <f t="shared" si="12"/>
        <v/>
      </c>
      <c r="O630" s="17" t="str">
        <f>IF(J630="","",M630/L630)</f>
        <v/>
      </c>
      <c r="P630" s="18" t="str">
        <f>IF(O630="","",(O630/(N630)*365))</f>
        <v/>
      </c>
      <c r="Q630" s="19"/>
    </row>
    <row r="631" spans="1:17" x14ac:dyDescent="0.15">
      <c r="A631" s="23"/>
      <c r="B631" s="3"/>
      <c r="C631" s="3"/>
      <c r="D631" s="3"/>
      <c r="E631" s="3"/>
      <c r="F631" s="23"/>
      <c r="G631" s="24"/>
      <c r="H631" s="1"/>
      <c r="I631" s="6"/>
      <c r="J631" s="6"/>
      <c r="K631" s="5"/>
      <c r="L631" s="24"/>
      <c r="M631" s="31" t="str">
        <f t="shared" si="11"/>
        <v/>
      </c>
      <c r="N631" s="7" t="str">
        <f t="shared" si="12"/>
        <v/>
      </c>
      <c r="O631" s="8" t="str">
        <f>IF(J631="","",M631/L631)</f>
        <v/>
      </c>
      <c r="P631" s="9" t="str">
        <f>IF(O631="","",(O631/(N631)*365))</f>
        <v/>
      </c>
      <c r="Q631" s="10"/>
    </row>
    <row r="632" spans="1:17" x14ac:dyDescent="0.15">
      <c r="A632" s="21"/>
      <c r="B632" s="20"/>
      <c r="C632" s="20"/>
      <c r="D632" s="20"/>
      <c r="E632" s="20"/>
      <c r="F632" s="21"/>
      <c r="G632" s="22"/>
      <c r="H632" s="11"/>
      <c r="I632" s="15"/>
      <c r="J632" s="15"/>
      <c r="K632" s="14"/>
      <c r="L632" s="22"/>
      <c r="M632" s="32" t="str">
        <f t="shared" si="11"/>
        <v/>
      </c>
      <c r="N632" s="16" t="str">
        <f t="shared" si="12"/>
        <v/>
      </c>
      <c r="O632" s="17" t="str">
        <f>IF(J632="","",M632/L632)</f>
        <v/>
      </c>
      <c r="P632" s="18" t="str">
        <f>IF(O632="","",(O632/(N632)*365))</f>
        <v/>
      </c>
      <c r="Q632" s="19"/>
    </row>
    <row r="633" spans="1:17" x14ac:dyDescent="0.15">
      <c r="A633" s="23"/>
      <c r="B633" s="3"/>
      <c r="C633" s="3"/>
      <c r="D633" s="3"/>
      <c r="E633" s="3"/>
      <c r="F633" s="23"/>
      <c r="G633" s="24"/>
      <c r="H633" s="1"/>
      <c r="I633" s="6"/>
      <c r="J633" s="6"/>
      <c r="K633" s="5"/>
      <c r="L633" s="24"/>
      <c r="M633" s="31" t="str">
        <f t="shared" si="11"/>
        <v/>
      </c>
      <c r="N633" s="7" t="str">
        <f t="shared" si="12"/>
        <v/>
      </c>
      <c r="O633" s="8" t="str">
        <f>IF(J633="","",M633/L633)</f>
        <v/>
      </c>
      <c r="P633" s="9" t="str">
        <f>IF(O633="","",(O633/(N633)*365))</f>
        <v/>
      </c>
      <c r="Q633" s="10"/>
    </row>
    <row r="634" spans="1:17" x14ac:dyDescent="0.15">
      <c r="A634" s="21"/>
      <c r="B634" s="20"/>
      <c r="C634" s="20"/>
      <c r="D634" s="20"/>
      <c r="E634" s="20"/>
      <c r="F634" s="21"/>
      <c r="G634" s="22"/>
      <c r="H634" s="11"/>
      <c r="I634" s="15"/>
      <c r="J634" s="15"/>
      <c r="K634" s="14"/>
      <c r="L634" s="22"/>
      <c r="M634" s="32" t="str">
        <f t="shared" si="11"/>
        <v/>
      </c>
      <c r="N634" s="16" t="str">
        <f t="shared" si="12"/>
        <v/>
      </c>
      <c r="O634" s="17" t="str">
        <f>IF(J634="","",M634/L634)</f>
        <v/>
      </c>
      <c r="P634" s="18" t="str">
        <f>IF(O634="","",(O634/(N634)*365))</f>
        <v/>
      </c>
      <c r="Q634" s="19"/>
    </row>
    <row r="635" spans="1:17" x14ac:dyDescent="0.15">
      <c r="A635" s="23"/>
      <c r="B635" s="3"/>
      <c r="C635" s="3"/>
      <c r="D635" s="3"/>
      <c r="E635" s="3"/>
      <c r="F635" s="23"/>
      <c r="G635" s="24"/>
      <c r="H635" s="1"/>
      <c r="I635" s="6"/>
      <c r="J635" s="6"/>
      <c r="K635" s="5"/>
      <c r="L635" s="24"/>
      <c r="M635" s="31" t="str">
        <f t="shared" si="11"/>
        <v/>
      </c>
      <c r="N635" s="7" t="str">
        <f t="shared" si="12"/>
        <v/>
      </c>
      <c r="O635" s="8" t="str">
        <f>IF(J635="","",M635/L635)</f>
        <v/>
      </c>
      <c r="P635" s="9" t="str">
        <f>IF(O635="","",(O635/(N635)*365))</f>
        <v/>
      </c>
      <c r="Q635" s="10"/>
    </row>
    <row r="636" spans="1:17" x14ac:dyDescent="0.15">
      <c r="A636" s="21"/>
      <c r="B636" s="20"/>
      <c r="C636" s="20"/>
      <c r="D636" s="20"/>
      <c r="E636" s="20"/>
      <c r="F636" s="21"/>
      <c r="G636" s="22"/>
      <c r="H636" s="11"/>
      <c r="I636" s="15"/>
      <c r="J636" s="15"/>
      <c r="K636" s="14"/>
      <c r="L636" s="22"/>
      <c r="M636" s="32" t="str">
        <f t="shared" si="11"/>
        <v/>
      </c>
      <c r="N636" s="16" t="str">
        <f t="shared" si="12"/>
        <v/>
      </c>
      <c r="O636" s="17" t="str">
        <f>IF(J636="","",M636/L636)</f>
        <v/>
      </c>
      <c r="P636" s="18" t="str">
        <f>IF(O636="","",(O636/(N636)*365))</f>
        <v/>
      </c>
      <c r="Q636" s="19"/>
    </row>
    <row r="637" spans="1:17" x14ac:dyDescent="0.15">
      <c r="A637" s="23"/>
      <c r="B637" s="3"/>
      <c r="C637" s="3"/>
      <c r="D637" s="3"/>
      <c r="E637" s="3"/>
      <c r="F637" s="23"/>
      <c r="G637" s="24"/>
      <c r="H637" s="1"/>
      <c r="I637" s="6"/>
      <c r="J637" s="6"/>
      <c r="K637" s="5"/>
      <c r="L637" s="24"/>
      <c r="M637" s="31" t="str">
        <f t="shared" si="11"/>
        <v/>
      </c>
      <c r="N637" s="7" t="str">
        <f t="shared" si="12"/>
        <v/>
      </c>
      <c r="O637" s="8" t="str">
        <f>IF(J637="","",M637/L637)</f>
        <v/>
      </c>
      <c r="P637" s="9" t="str">
        <f>IF(O637="","",(O637/(N637)*365))</f>
        <v/>
      </c>
      <c r="Q637" s="10"/>
    </row>
    <row r="638" spans="1:17" x14ac:dyDescent="0.15">
      <c r="A638" s="21"/>
      <c r="B638" s="20"/>
      <c r="C638" s="20"/>
      <c r="D638" s="20"/>
      <c r="E638" s="20"/>
      <c r="F638" s="21"/>
      <c r="G638" s="22"/>
      <c r="H638" s="11"/>
      <c r="I638" s="15"/>
      <c r="J638" s="15"/>
      <c r="K638" s="14"/>
      <c r="L638" s="22"/>
      <c r="M638" s="32" t="str">
        <f t="shared" si="11"/>
        <v/>
      </c>
      <c r="N638" s="16" t="str">
        <f t="shared" si="12"/>
        <v/>
      </c>
      <c r="O638" s="17" t="str">
        <f>IF(J638="","",M638/L638)</f>
        <v/>
      </c>
      <c r="P638" s="18" t="str">
        <f>IF(O638="","",(O638/(N638)*365))</f>
        <v/>
      </c>
      <c r="Q638" s="19"/>
    </row>
    <row r="639" spans="1:17" x14ac:dyDescent="0.15">
      <c r="A639" s="23"/>
      <c r="B639" s="3"/>
      <c r="C639" s="3"/>
      <c r="D639" s="3"/>
      <c r="E639" s="3"/>
      <c r="F639" s="23"/>
      <c r="G639" s="24"/>
      <c r="H639" s="1"/>
      <c r="I639" s="6"/>
      <c r="J639" s="6"/>
      <c r="K639" s="5"/>
      <c r="L639" s="24"/>
      <c r="M639" s="31" t="str">
        <f t="shared" si="11"/>
        <v/>
      </c>
      <c r="N639" s="7" t="str">
        <f t="shared" si="12"/>
        <v/>
      </c>
      <c r="O639" s="8" t="str">
        <f>IF(J639="","",M639/L639)</f>
        <v/>
      </c>
      <c r="P639" s="9" t="str">
        <f>IF(O639="","",(O639/(N639)*365))</f>
        <v/>
      </c>
      <c r="Q639" s="10"/>
    </row>
    <row r="640" spans="1:17" x14ac:dyDescent="0.15">
      <c r="A640" s="21"/>
      <c r="B640" s="20"/>
      <c r="C640" s="20"/>
      <c r="D640" s="20"/>
      <c r="E640" s="20"/>
      <c r="F640" s="21"/>
      <c r="G640" s="22"/>
      <c r="H640" s="11"/>
      <c r="I640" s="15"/>
      <c r="J640" s="15"/>
      <c r="K640" s="14"/>
      <c r="L640" s="22"/>
      <c r="M640" s="32" t="str">
        <f t="shared" si="11"/>
        <v/>
      </c>
      <c r="N640" s="16" t="str">
        <f t="shared" si="12"/>
        <v/>
      </c>
      <c r="O640" s="17" t="str">
        <f>IF(J640="","",M640/L640)</f>
        <v/>
      </c>
      <c r="P640" s="18" t="str">
        <f>IF(O640="","",(O640/(N640)*365))</f>
        <v/>
      </c>
      <c r="Q640" s="19"/>
    </row>
    <row r="641" spans="1:17" x14ac:dyDescent="0.15">
      <c r="A641" s="23"/>
      <c r="B641" s="3"/>
      <c r="C641" s="3"/>
      <c r="D641" s="3"/>
      <c r="E641" s="3"/>
      <c r="F641" s="23"/>
      <c r="G641" s="24"/>
      <c r="H641" s="1"/>
      <c r="I641" s="6"/>
      <c r="J641" s="6"/>
      <c r="K641" s="5"/>
      <c r="L641" s="24"/>
      <c r="M641" s="31" t="str">
        <f t="shared" si="11"/>
        <v/>
      </c>
      <c r="N641" s="7" t="str">
        <f t="shared" si="12"/>
        <v/>
      </c>
      <c r="O641" s="8" t="str">
        <f>IF(J641="","",M641/L641)</f>
        <v/>
      </c>
      <c r="P641" s="9" t="str">
        <f>IF(O641="","",(O641/(N641)*365))</f>
        <v/>
      </c>
      <c r="Q641" s="10"/>
    </row>
    <row r="642" spans="1:17" x14ac:dyDescent="0.15">
      <c r="A642" s="21"/>
      <c r="B642" s="20"/>
      <c r="C642" s="20"/>
      <c r="D642" s="20"/>
      <c r="E642" s="20"/>
      <c r="F642" s="21"/>
      <c r="G642" s="22"/>
      <c r="H642" s="11"/>
      <c r="I642" s="15"/>
      <c r="J642" s="15"/>
      <c r="K642" s="14"/>
      <c r="L642" s="22"/>
      <c r="M642" s="32" t="str">
        <f t="shared" si="11"/>
        <v/>
      </c>
      <c r="N642" s="16" t="str">
        <f t="shared" si="12"/>
        <v/>
      </c>
      <c r="O642" s="17" t="str">
        <f>IF(J642="","",M642/L642)</f>
        <v/>
      </c>
      <c r="P642" s="18" t="str">
        <f>IF(O642="","",(O642/(N642)*365))</f>
        <v/>
      </c>
      <c r="Q642" s="19"/>
    </row>
    <row r="643" spans="1:17" x14ac:dyDescent="0.15">
      <c r="A643" s="23"/>
      <c r="B643" s="3"/>
      <c r="C643" s="3"/>
      <c r="D643" s="3"/>
      <c r="E643" s="3"/>
      <c r="F643" s="23"/>
      <c r="G643" s="24"/>
      <c r="H643" s="1"/>
      <c r="I643" s="6"/>
      <c r="J643" s="6"/>
      <c r="K643" s="5"/>
      <c r="L643" s="24"/>
      <c r="M643" s="31" t="str">
        <f t="shared" si="11"/>
        <v/>
      </c>
      <c r="N643" s="7" t="str">
        <f t="shared" si="12"/>
        <v/>
      </c>
      <c r="O643" s="8" t="str">
        <f>IF(J643="","",M643/L643)</f>
        <v/>
      </c>
      <c r="P643" s="9" t="str">
        <f>IF(O643="","",(O643/(N643)*365))</f>
        <v/>
      </c>
      <c r="Q643" s="10"/>
    </row>
    <row r="644" spans="1:17" x14ac:dyDescent="0.15">
      <c r="A644" s="21"/>
      <c r="B644" s="20"/>
      <c r="C644" s="20"/>
      <c r="D644" s="20"/>
      <c r="E644" s="20"/>
      <c r="F644" s="21"/>
      <c r="G644" s="22"/>
      <c r="H644" s="11"/>
      <c r="I644" s="15"/>
      <c r="J644" s="15"/>
      <c r="K644" s="14"/>
      <c r="L644" s="22"/>
      <c r="M644" s="32" t="str">
        <f t="shared" si="11"/>
        <v/>
      </c>
      <c r="N644" s="16" t="str">
        <f t="shared" si="12"/>
        <v/>
      </c>
      <c r="O644" s="17" t="str">
        <f>IF(J644="","",M644/L644)</f>
        <v/>
      </c>
      <c r="P644" s="18" t="str">
        <f>IF(O644="","",(O644/(N644)*365))</f>
        <v/>
      </c>
      <c r="Q644" s="19"/>
    </row>
    <row r="645" spans="1:17" x14ac:dyDescent="0.15">
      <c r="A645" s="23"/>
      <c r="B645" s="3"/>
      <c r="C645" s="3"/>
      <c r="D645" s="3"/>
      <c r="E645" s="3"/>
      <c r="F645" s="23"/>
      <c r="G645" s="24"/>
      <c r="H645" s="1"/>
      <c r="I645" s="6"/>
      <c r="J645" s="6"/>
      <c r="K645" s="5"/>
      <c r="L645" s="24"/>
      <c r="M645" s="31" t="str">
        <f t="shared" si="11"/>
        <v/>
      </c>
      <c r="N645" s="7" t="str">
        <f t="shared" si="12"/>
        <v/>
      </c>
      <c r="O645" s="8" t="str">
        <f>IF(J645="","",M645/L645)</f>
        <v/>
      </c>
      <c r="P645" s="9" t="str">
        <f>IF(O645="","",(O645/(N645)*365))</f>
        <v/>
      </c>
      <c r="Q645" s="10"/>
    </row>
    <row r="646" spans="1:17" x14ac:dyDescent="0.15">
      <c r="A646" s="21"/>
      <c r="B646" s="20"/>
      <c r="C646" s="20"/>
      <c r="D646" s="20"/>
      <c r="E646" s="20"/>
      <c r="F646" s="21"/>
      <c r="G646" s="22"/>
      <c r="H646" s="11"/>
      <c r="I646" s="15"/>
      <c r="J646" s="15"/>
      <c r="K646" s="14"/>
      <c r="L646" s="22"/>
      <c r="M646" s="32" t="str">
        <f t="shared" si="11"/>
        <v/>
      </c>
      <c r="N646" s="16" t="str">
        <f t="shared" si="12"/>
        <v/>
      </c>
      <c r="O646" s="17" t="str">
        <f>IF(J646="","",M646/L646)</f>
        <v/>
      </c>
      <c r="P646" s="18" t="str">
        <f>IF(O646="","",(O646/(N646)*365))</f>
        <v/>
      </c>
      <c r="Q646" s="19"/>
    </row>
    <row r="647" spans="1:17" x14ac:dyDescent="0.15">
      <c r="A647" s="23"/>
      <c r="B647" s="3"/>
      <c r="C647" s="3"/>
      <c r="D647" s="3"/>
      <c r="E647" s="3"/>
      <c r="F647" s="23"/>
      <c r="G647" s="24"/>
      <c r="H647" s="1"/>
      <c r="I647" s="6"/>
      <c r="J647" s="6"/>
      <c r="K647" s="5"/>
      <c r="L647" s="24"/>
      <c r="M647" s="31" t="str">
        <f t="shared" si="11"/>
        <v/>
      </c>
      <c r="N647" s="7" t="str">
        <f t="shared" si="12"/>
        <v/>
      </c>
      <c r="O647" s="8" t="str">
        <f>IF(J647="","",M647/L647)</f>
        <v/>
      </c>
      <c r="P647" s="9" t="str">
        <f>IF(O647="","",(O647/(N647)*365))</f>
        <v/>
      </c>
      <c r="Q647" s="10"/>
    </row>
    <row r="648" spans="1:17" x14ac:dyDescent="0.15">
      <c r="A648" s="21"/>
      <c r="B648" s="20"/>
      <c r="C648" s="20"/>
      <c r="D648" s="20"/>
      <c r="E648" s="20"/>
      <c r="F648" s="21"/>
      <c r="G648" s="22"/>
      <c r="H648" s="11"/>
      <c r="I648" s="15"/>
      <c r="J648" s="15"/>
      <c r="K648" s="14"/>
      <c r="L648" s="22"/>
      <c r="M648" s="32" t="str">
        <f t="shared" si="11"/>
        <v/>
      </c>
      <c r="N648" s="16" t="str">
        <f t="shared" si="12"/>
        <v/>
      </c>
      <c r="O648" s="17" t="str">
        <f>IF(J648="","",M648/L648)</f>
        <v/>
      </c>
      <c r="P648" s="18" t="str">
        <f>IF(O648="","",(O648/(N648)*365))</f>
        <v/>
      </c>
      <c r="Q648" s="19"/>
    </row>
    <row r="649" spans="1:17" x14ac:dyDescent="0.15">
      <c r="A649" s="23"/>
      <c r="B649" s="3"/>
      <c r="C649" s="3"/>
      <c r="D649" s="3"/>
      <c r="E649" s="3"/>
      <c r="F649" s="23"/>
      <c r="G649" s="24"/>
      <c r="H649" s="1"/>
      <c r="I649" s="6"/>
      <c r="J649" s="6"/>
      <c r="K649" s="5"/>
      <c r="L649" s="24"/>
      <c r="M649" s="31" t="str">
        <f t="shared" si="11"/>
        <v/>
      </c>
      <c r="N649" s="7" t="str">
        <f t="shared" si="12"/>
        <v/>
      </c>
      <c r="O649" s="8" t="str">
        <f>IF(J649="","",M649/L649)</f>
        <v/>
      </c>
      <c r="P649" s="9" t="str">
        <f>IF(O649="","",(O649/(N649)*365))</f>
        <v/>
      </c>
      <c r="Q649" s="10"/>
    </row>
    <row r="650" spans="1:17" x14ac:dyDescent="0.15">
      <c r="A650" s="21"/>
      <c r="B650" s="20"/>
      <c r="C650" s="20"/>
      <c r="D650" s="20"/>
      <c r="E650" s="20"/>
      <c r="F650" s="21"/>
      <c r="G650" s="22"/>
      <c r="H650" s="11"/>
      <c r="I650" s="15"/>
      <c r="J650" s="15"/>
      <c r="K650" s="14"/>
      <c r="L650" s="22"/>
      <c r="M650" s="32" t="str">
        <f t="shared" si="11"/>
        <v/>
      </c>
      <c r="N650" s="16" t="str">
        <f t="shared" si="12"/>
        <v/>
      </c>
      <c r="O650" s="17" t="str">
        <f>IF(J650="","",M650/L650)</f>
        <v/>
      </c>
      <c r="P650" s="18" t="str">
        <f>IF(O650="","",(O650/(N650)*365))</f>
        <v/>
      </c>
      <c r="Q650" s="19"/>
    </row>
    <row r="651" spans="1:17" x14ac:dyDescent="0.15">
      <c r="A651" s="23"/>
      <c r="B651" s="3"/>
      <c r="C651" s="3"/>
      <c r="D651" s="3"/>
      <c r="E651" s="3"/>
      <c r="F651" s="23"/>
      <c r="G651" s="24"/>
      <c r="H651" s="1"/>
      <c r="I651" s="6"/>
      <c r="J651" s="6"/>
      <c r="K651" s="5"/>
      <c r="L651" s="24"/>
      <c r="M651" s="31" t="str">
        <f t="shared" si="11"/>
        <v/>
      </c>
      <c r="N651" s="7" t="str">
        <f t="shared" si="12"/>
        <v/>
      </c>
      <c r="O651" s="8" t="str">
        <f>IF(J651="","",M651/L651)</f>
        <v/>
      </c>
      <c r="P651" s="9" t="str">
        <f>IF(O651="","",(O651/(N651)*365))</f>
        <v/>
      </c>
      <c r="Q651" s="10"/>
    </row>
    <row r="652" spans="1:17" x14ac:dyDescent="0.15">
      <c r="A652" s="21"/>
      <c r="B652" s="20"/>
      <c r="C652" s="20"/>
      <c r="D652" s="20"/>
      <c r="E652" s="20"/>
      <c r="F652" s="21"/>
      <c r="G652" s="22"/>
      <c r="H652" s="11"/>
      <c r="I652" s="15"/>
      <c r="J652" s="15"/>
      <c r="K652" s="14"/>
      <c r="L652" s="22"/>
      <c r="M652" s="32" t="str">
        <f t="shared" si="11"/>
        <v/>
      </c>
      <c r="N652" s="16" t="str">
        <f t="shared" si="12"/>
        <v/>
      </c>
      <c r="O652" s="17" t="str">
        <f>IF(J652="","",M652/L652)</f>
        <v/>
      </c>
      <c r="P652" s="18" t="str">
        <f>IF(O652="","",(O652/(N652)*365))</f>
        <v/>
      </c>
      <c r="Q652" s="19"/>
    </row>
    <row r="653" spans="1:17" x14ac:dyDescent="0.15">
      <c r="A653" s="23"/>
      <c r="B653" s="3"/>
      <c r="C653" s="3"/>
      <c r="D653" s="3"/>
      <c r="E653" s="3"/>
      <c r="F653" s="23"/>
      <c r="G653" s="24"/>
      <c r="H653" s="1"/>
      <c r="I653" s="6"/>
      <c r="J653" s="6"/>
      <c r="K653" s="5"/>
      <c r="L653" s="24"/>
      <c r="M653" s="31" t="str">
        <f t="shared" si="11"/>
        <v/>
      </c>
      <c r="N653" s="7" t="str">
        <f t="shared" si="12"/>
        <v/>
      </c>
      <c r="O653" s="8" t="str">
        <f>IF(J653="","",M653/L653)</f>
        <v/>
      </c>
      <c r="P653" s="9" t="str">
        <f>IF(O653="","",(O653/(N653)*365))</f>
        <v/>
      </c>
      <c r="Q653" s="10"/>
    </row>
    <row r="654" spans="1:17" x14ac:dyDescent="0.15">
      <c r="A654" s="21"/>
      <c r="B654" s="20"/>
      <c r="C654" s="20"/>
      <c r="D654" s="20"/>
      <c r="E654" s="20"/>
      <c r="F654" s="21"/>
      <c r="G654" s="22"/>
      <c r="H654" s="11"/>
      <c r="I654" s="15"/>
      <c r="J654" s="15"/>
      <c r="K654" s="14"/>
      <c r="L654" s="22"/>
      <c r="M654" s="32" t="str">
        <f t="shared" si="11"/>
        <v/>
      </c>
      <c r="N654" s="16" t="str">
        <f t="shared" si="12"/>
        <v/>
      </c>
      <c r="O654" s="17" t="str">
        <f>IF(J654="","",M654/L654)</f>
        <v/>
      </c>
      <c r="P654" s="18" t="str">
        <f>IF(O654="","",(O654/(N654)*365))</f>
        <v/>
      </c>
      <c r="Q654" s="19"/>
    </row>
    <row r="655" spans="1:17" x14ac:dyDescent="0.15">
      <c r="A655" s="23"/>
      <c r="B655" s="3"/>
      <c r="C655" s="3"/>
      <c r="D655" s="3"/>
      <c r="E655" s="3"/>
      <c r="F655" s="23"/>
      <c r="G655" s="24"/>
      <c r="H655" s="1"/>
      <c r="I655" s="6"/>
      <c r="J655" s="6"/>
      <c r="K655" s="5"/>
      <c r="L655" s="24"/>
      <c r="M655" s="31" t="str">
        <f t="shared" si="11"/>
        <v/>
      </c>
      <c r="N655" s="7" t="str">
        <f t="shared" si="12"/>
        <v/>
      </c>
      <c r="O655" s="8" t="str">
        <f>IF(J655="","",M655/L655)</f>
        <v/>
      </c>
      <c r="P655" s="9" t="str">
        <f>IF(O655="","",(O655/(N655)*365))</f>
        <v/>
      </c>
      <c r="Q655" s="10"/>
    </row>
    <row r="656" spans="1:17" x14ac:dyDescent="0.15">
      <c r="A656" s="21"/>
      <c r="B656" s="20"/>
      <c r="C656" s="20"/>
      <c r="D656" s="20"/>
      <c r="E656" s="20"/>
      <c r="F656" s="21"/>
      <c r="G656" s="22"/>
      <c r="H656" s="11"/>
      <c r="I656" s="15"/>
      <c r="J656" s="15"/>
      <c r="K656" s="14"/>
      <c r="L656" s="22"/>
      <c r="M656" s="32" t="str">
        <f t="shared" si="11"/>
        <v/>
      </c>
      <c r="N656" s="16" t="str">
        <f t="shared" si="12"/>
        <v/>
      </c>
      <c r="O656" s="17" t="str">
        <f>IF(J656="","",M656/L656)</f>
        <v/>
      </c>
      <c r="P656" s="18" t="str">
        <f>IF(O656="","",(O656/(N656)*365))</f>
        <v/>
      </c>
      <c r="Q656" s="19"/>
    </row>
    <row r="657" spans="1:17" x14ac:dyDescent="0.15">
      <c r="A657" s="23"/>
      <c r="B657" s="3"/>
      <c r="C657" s="3"/>
      <c r="D657" s="3"/>
      <c r="E657" s="3"/>
      <c r="F657" s="23"/>
      <c r="G657" s="24"/>
      <c r="H657" s="1"/>
      <c r="I657" s="6"/>
      <c r="J657" s="6"/>
      <c r="K657" s="5"/>
      <c r="L657" s="24"/>
      <c r="M657" s="31" t="str">
        <f t="shared" si="11"/>
        <v/>
      </c>
      <c r="N657" s="7" t="str">
        <f t="shared" si="12"/>
        <v/>
      </c>
      <c r="O657" s="8" t="str">
        <f>IF(J657="","",M657/L657)</f>
        <v/>
      </c>
      <c r="P657" s="9" t="str">
        <f>IF(O657="","",(O657/(N657)*365))</f>
        <v/>
      </c>
      <c r="Q657" s="10"/>
    </row>
    <row r="658" spans="1:17" x14ac:dyDescent="0.15">
      <c r="A658" s="21"/>
      <c r="B658" s="20"/>
      <c r="C658" s="20"/>
      <c r="D658" s="20"/>
      <c r="E658" s="20"/>
      <c r="F658" s="21"/>
      <c r="G658" s="22"/>
      <c r="H658" s="11"/>
      <c r="I658" s="15"/>
      <c r="J658" s="15"/>
      <c r="K658" s="14"/>
      <c r="L658" s="22"/>
      <c r="M658" s="32" t="str">
        <f t="shared" si="11"/>
        <v/>
      </c>
      <c r="N658" s="16" t="str">
        <f t="shared" si="12"/>
        <v/>
      </c>
      <c r="O658" s="17" t="str">
        <f>IF(J658="","",M658/L658)</f>
        <v/>
      </c>
      <c r="P658" s="18" t="str">
        <f>IF(O658="","",(O658/(N658)*365))</f>
        <v/>
      </c>
      <c r="Q658" s="19"/>
    </row>
    <row r="659" spans="1:17" x14ac:dyDescent="0.15">
      <c r="A659" s="23"/>
      <c r="B659" s="3"/>
      <c r="C659" s="3"/>
      <c r="D659" s="3"/>
      <c r="E659" s="3"/>
      <c r="F659" s="23"/>
      <c r="G659" s="24"/>
      <c r="H659" s="1"/>
      <c r="I659" s="6"/>
      <c r="J659" s="6"/>
      <c r="K659" s="5"/>
      <c r="L659" s="24"/>
      <c r="M659" s="31" t="str">
        <f t="shared" si="11"/>
        <v/>
      </c>
      <c r="N659" s="7" t="str">
        <f t="shared" si="12"/>
        <v/>
      </c>
      <c r="O659" s="8" t="str">
        <f>IF(J659="","",M659/L659)</f>
        <v/>
      </c>
      <c r="P659" s="9" t="str">
        <f>IF(O659="","",(O659/(N659)*365))</f>
        <v/>
      </c>
      <c r="Q659" s="10"/>
    </row>
    <row r="660" spans="1:17" x14ac:dyDescent="0.15">
      <c r="A660" s="21"/>
      <c r="B660" s="20"/>
      <c r="C660" s="20"/>
      <c r="D660" s="20"/>
      <c r="E660" s="20"/>
      <c r="F660" s="21"/>
      <c r="G660" s="22"/>
      <c r="H660" s="11"/>
      <c r="I660" s="15"/>
      <c r="J660" s="15"/>
      <c r="K660" s="14"/>
      <c r="L660" s="22"/>
      <c r="M660" s="32" t="str">
        <f t="shared" si="11"/>
        <v/>
      </c>
      <c r="N660" s="16" t="str">
        <f t="shared" si="12"/>
        <v/>
      </c>
      <c r="O660" s="17" t="str">
        <f>IF(J660="","",M660/L660)</f>
        <v/>
      </c>
      <c r="P660" s="18" t="str">
        <f>IF(O660="","",(O660/(N660)*365))</f>
        <v/>
      </c>
      <c r="Q660" s="19"/>
    </row>
    <row r="661" spans="1:17" x14ac:dyDescent="0.15">
      <c r="A661" s="23"/>
      <c r="B661" s="3"/>
      <c r="C661" s="3"/>
      <c r="D661" s="3"/>
      <c r="E661" s="3"/>
      <c r="F661" s="23"/>
      <c r="G661" s="24"/>
      <c r="H661" s="1"/>
      <c r="I661" s="6"/>
      <c r="J661" s="6"/>
      <c r="K661" s="5"/>
      <c r="L661" s="24"/>
      <c r="M661" s="31" t="str">
        <f t="shared" si="11"/>
        <v/>
      </c>
      <c r="N661" s="7" t="str">
        <f t="shared" si="12"/>
        <v/>
      </c>
      <c r="O661" s="8" t="str">
        <f>IF(J661="","",M661/L661)</f>
        <v/>
      </c>
      <c r="P661" s="9" t="str">
        <f>IF(O661="","",(O661/(N661)*365))</f>
        <v/>
      </c>
      <c r="Q661" s="10"/>
    </row>
    <row r="662" spans="1:17" x14ac:dyDescent="0.15">
      <c r="A662" s="21"/>
      <c r="B662" s="20"/>
      <c r="C662" s="20"/>
      <c r="D662" s="20"/>
      <c r="E662" s="20"/>
      <c r="F662" s="21"/>
      <c r="G662" s="22"/>
      <c r="H662" s="11"/>
      <c r="I662" s="15"/>
      <c r="J662" s="15"/>
      <c r="K662" s="14"/>
      <c r="L662" s="22"/>
      <c r="M662" s="32" t="str">
        <f t="shared" si="11"/>
        <v/>
      </c>
      <c r="N662" s="16" t="str">
        <f t="shared" si="12"/>
        <v/>
      </c>
      <c r="O662" s="17" t="str">
        <f>IF(J662="","",M662/L662)</f>
        <v/>
      </c>
      <c r="P662" s="18" t="str">
        <f>IF(O662="","",(O662/(N662)*365))</f>
        <v/>
      </c>
      <c r="Q662" s="19"/>
    </row>
    <row r="663" spans="1:17" x14ac:dyDescent="0.15">
      <c r="A663" s="23"/>
      <c r="B663" s="3"/>
      <c r="C663" s="3"/>
      <c r="D663" s="3"/>
      <c r="E663" s="3"/>
      <c r="F663" s="23"/>
      <c r="G663" s="24"/>
      <c r="H663" s="1"/>
      <c r="I663" s="6"/>
      <c r="J663" s="6"/>
      <c r="K663" s="5"/>
      <c r="L663" s="24"/>
      <c r="M663" s="31" t="str">
        <f t="shared" si="11"/>
        <v/>
      </c>
      <c r="N663" s="7" t="str">
        <f t="shared" si="12"/>
        <v/>
      </c>
      <c r="O663" s="8" t="str">
        <f>IF(J663="","",M663/L663)</f>
        <v/>
      </c>
      <c r="P663" s="9" t="str">
        <f>IF(O663="","",(O663/(N663)*365))</f>
        <v/>
      </c>
      <c r="Q663" s="10"/>
    </row>
    <row r="664" spans="1:17" x14ac:dyDescent="0.15">
      <c r="A664" s="21"/>
      <c r="B664" s="20"/>
      <c r="C664" s="20"/>
      <c r="D664" s="20"/>
      <c r="E664" s="20"/>
      <c r="F664" s="21"/>
      <c r="G664" s="22"/>
      <c r="H664" s="11"/>
      <c r="I664" s="15"/>
      <c r="J664" s="15"/>
      <c r="K664" s="14"/>
      <c r="L664" s="22"/>
      <c r="M664" s="32" t="str">
        <f t="shared" si="11"/>
        <v/>
      </c>
      <c r="N664" s="16" t="str">
        <f t="shared" si="12"/>
        <v/>
      </c>
      <c r="O664" s="17" t="str">
        <f>IF(J664="","",M664/L664)</f>
        <v/>
      </c>
      <c r="P664" s="18" t="str">
        <f>IF(O664="","",(O664/(N664)*365))</f>
        <v/>
      </c>
      <c r="Q664" s="19"/>
    </row>
    <row r="665" spans="1:17" x14ac:dyDescent="0.15">
      <c r="A665" s="23"/>
      <c r="B665" s="3"/>
      <c r="C665" s="3"/>
      <c r="D665" s="3"/>
      <c r="E665" s="3"/>
      <c r="F665" s="23"/>
      <c r="G665" s="24"/>
      <c r="H665" s="1"/>
      <c r="I665" s="6"/>
      <c r="J665" s="6"/>
      <c r="K665" s="5"/>
      <c r="L665" s="24"/>
      <c r="M665" s="31" t="str">
        <f t="shared" si="11"/>
        <v/>
      </c>
      <c r="N665" s="7" t="str">
        <f t="shared" si="12"/>
        <v/>
      </c>
      <c r="O665" s="8" t="str">
        <f>IF(J665="","",M665/L665)</f>
        <v/>
      </c>
      <c r="P665" s="9" t="str">
        <f>IF(O665="","",(O665/(N665)*365))</f>
        <v/>
      </c>
      <c r="Q665" s="10"/>
    </row>
    <row r="666" spans="1:17" x14ac:dyDescent="0.15">
      <c r="A666" s="21"/>
      <c r="B666" s="20"/>
      <c r="C666" s="20"/>
      <c r="D666" s="20"/>
      <c r="E666" s="20"/>
      <c r="F666" s="21"/>
      <c r="G666" s="22"/>
      <c r="H666" s="11"/>
      <c r="I666" s="15"/>
      <c r="J666" s="15"/>
      <c r="K666" s="14"/>
      <c r="L666" s="22"/>
      <c r="M666" s="32" t="str">
        <f t="shared" si="11"/>
        <v/>
      </c>
      <c r="N666" s="16" t="str">
        <f t="shared" si="12"/>
        <v/>
      </c>
      <c r="O666" s="17" t="str">
        <f>IF(J666="","",M666/L666)</f>
        <v/>
      </c>
      <c r="P666" s="18" t="str">
        <f>IF(O666="","",(O666/(N666)*365))</f>
        <v/>
      </c>
      <c r="Q666" s="19"/>
    </row>
    <row r="667" spans="1:17" x14ac:dyDescent="0.15">
      <c r="A667" s="23"/>
      <c r="B667" s="3"/>
      <c r="C667" s="3"/>
      <c r="D667" s="3"/>
      <c r="E667" s="3"/>
      <c r="F667" s="23"/>
      <c r="G667" s="24"/>
      <c r="H667" s="1"/>
      <c r="I667" s="6"/>
      <c r="J667" s="6"/>
      <c r="K667" s="5"/>
      <c r="L667" s="24"/>
      <c r="M667" s="31" t="str">
        <f t="shared" si="11"/>
        <v/>
      </c>
      <c r="N667" s="7" t="str">
        <f t="shared" si="12"/>
        <v/>
      </c>
      <c r="O667" s="8" t="str">
        <f>IF(J667="","",M667/L667)</f>
        <v/>
      </c>
      <c r="P667" s="9" t="str">
        <f>IF(O667="","",(O667/(N667)*365))</f>
        <v/>
      </c>
      <c r="Q667" s="10"/>
    </row>
    <row r="668" spans="1:17" x14ac:dyDescent="0.15">
      <c r="A668" s="21"/>
      <c r="B668" s="20"/>
      <c r="C668" s="20"/>
      <c r="D668" s="20"/>
      <c r="E668" s="20"/>
      <c r="F668" s="21"/>
      <c r="G668" s="22"/>
      <c r="H668" s="11"/>
      <c r="I668" s="15"/>
      <c r="J668" s="15"/>
      <c r="K668" s="14"/>
      <c r="L668" s="22"/>
      <c r="M668" s="32" t="str">
        <f t="shared" si="11"/>
        <v/>
      </c>
      <c r="N668" s="16" t="str">
        <f t="shared" si="12"/>
        <v/>
      </c>
      <c r="O668" s="17" t="str">
        <f>IF(J668="","",M668/L668)</f>
        <v/>
      </c>
      <c r="P668" s="18" t="str">
        <f>IF(O668="","",(O668/(N668)*365))</f>
        <v/>
      </c>
      <c r="Q668" s="19"/>
    </row>
    <row r="669" spans="1:17" x14ac:dyDescent="0.15">
      <c r="A669" s="23"/>
      <c r="B669" s="3"/>
      <c r="C669" s="3"/>
      <c r="D669" s="3"/>
      <c r="E669" s="3"/>
      <c r="F669" s="23"/>
      <c r="G669" s="24"/>
      <c r="H669" s="1"/>
      <c r="I669" s="6"/>
      <c r="J669" s="6"/>
      <c r="K669" s="5"/>
      <c r="L669" s="24"/>
      <c r="M669" s="31" t="str">
        <f t="shared" si="11"/>
        <v/>
      </c>
      <c r="N669" s="7" t="str">
        <f t="shared" si="12"/>
        <v/>
      </c>
      <c r="O669" s="8" t="str">
        <f>IF(J669="","",M669/L669)</f>
        <v/>
      </c>
      <c r="P669" s="9" t="str">
        <f>IF(O669="","",(O669/(N669)*365))</f>
        <v/>
      </c>
      <c r="Q669" s="10"/>
    </row>
    <row r="670" spans="1:17" x14ac:dyDescent="0.15">
      <c r="A670" s="21"/>
      <c r="B670" s="20"/>
      <c r="C670" s="20"/>
      <c r="D670" s="20"/>
      <c r="E670" s="20"/>
      <c r="F670" s="21"/>
      <c r="G670" s="22"/>
      <c r="H670" s="11"/>
      <c r="I670" s="15"/>
      <c r="J670" s="15"/>
      <c r="K670" s="14"/>
      <c r="L670" s="22"/>
      <c r="M670" s="32" t="str">
        <f t="shared" si="11"/>
        <v/>
      </c>
      <c r="N670" s="16" t="str">
        <f t="shared" si="12"/>
        <v/>
      </c>
      <c r="O670" s="17" t="str">
        <f>IF(J670="","",M670/L670)</f>
        <v/>
      </c>
      <c r="P670" s="18" t="str">
        <f>IF(O670="","",(O670/(N670)*365))</f>
        <v/>
      </c>
      <c r="Q670" s="19"/>
    </row>
    <row r="671" spans="1:17" x14ac:dyDescent="0.15">
      <c r="A671" s="23"/>
      <c r="B671" s="3"/>
      <c r="C671" s="3"/>
      <c r="D671" s="3"/>
      <c r="E671" s="3"/>
      <c r="F671" s="23"/>
      <c r="G671" s="24"/>
      <c r="H671" s="1"/>
      <c r="I671" s="6"/>
      <c r="J671" s="6"/>
      <c r="K671" s="5"/>
      <c r="L671" s="24"/>
      <c r="M671" s="31" t="str">
        <f t="shared" si="11"/>
        <v/>
      </c>
      <c r="N671" s="7" t="str">
        <f t="shared" si="12"/>
        <v/>
      </c>
      <c r="O671" s="8" t="str">
        <f>IF(J671="","",M671/L671)</f>
        <v/>
      </c>
      <c r="P671" s="9" t="str">
        <f>IF(O671="","",(O671/(N671)*365))</f>
        <v/>
      </c>
      <c r="Q671" s="10"/>
    </row>
    <row r="672" spans="1:17" x14ac:dyDescent="0.15">
      <c r="A672" s="21"/>
      <c r="B672" s="20"/>
      <c r="C672" s="20"/>
      <c r="D672" s="20"/>
      <c r="E672" s="20"/>
      <c r="F672" s="21"/>
      <c r="G672" s="22"/>
      <c r="H672" s="11"/>
      <c r="I672" s="15"/>
      <c r="J672" s="15"/>
      <c r="K672" s="14"/>
      <c r="L672" s="22"/>
      <c r="M672" s="32" t="str">
        <f t="shared" si="11"/>
        <v/>
      </c>
      <c r="N672" s="16" t="str">
        <f t="shared" si="12"/>
        <v/>
      </c>
      <c r="O672" s="17" t="str">
        <f>IF(J672="","",M672/L672)</f>
        <v/>
      </c>
      <c r="P672" s="18" t="str">
        <f>IF(O672="","",(O672/(N672)*365))</f>
        <v/>
      </c>
      <c r="Q672" s="19"/>
    </row>
    <row r="673" spans="1:17" x14ac:dyDescent="0.15">
      <c r="A673" s="23"/>
      <c r="B673" s="3"/>
      <c r="C673" s="3"/>
      <c r="D673" s="3"/>
      <c r="E673" s="3"/>
      <c r="F673" s="23"/>
      <c r="G673" s="24"/>
      <c r="H673" s="1"/>
      <c r="I673" s="6"/>
      <c r="J673" s="6"/>
      <c r="K673" s="5"/>
      <c r="L673" s="24"/>
      <c r="M673" s="31" t="str">
        <f t="shared" si="11"/>
        <v/>
      </c>
      <c r="N673" s="7" t="str">
        <f t="shared" si="12"/>
        <v/>
      </c>
      <c r="O673" s="8" t="str">
        <f>IF(J673="","",M673/L673)</f>
        <v/>
      </c>
      <c r="P673" s="9" t="str">
        <f>IF(O673="","",(O673/(N673)*365))</f>
        <v/>
      </c>
      <c r="Q673" s="10"/>
    </row>
    <row r="674" spans="1:17" x14ac:dyDescent="0.15">
      <c r="A674" s="21"/>
      <c r="B674" s="20"/>
      <c r="C674" s="20"/>
      <c r="D674" s="20"/>
      <c r="E674" s="20"/>
      <c r="F674" s="21"/>
      <c r="G674" s="22"/>
      <c r="H674" s="11"/>
      <c r="I674" s="15"/>
      <c r="J674" s="15"/>
      <c r="K674" s="14"/>
      <c r="L674" s="22"/>
      <c r="M674" s="32" t="str">
        <f t="shared" si="11"/>
        <v/>
      </c>
      <c r="N674" s="16" t="str">
        <f t="shared" si="12"/>
        <v/>
      </c>
      <c r="O674" s="17" t="str">
        <f>IF(J674="","",M674/L674)</f>
        <v/>
      </c>
      <c r="P674" s="18" t="str">
        <f>IF(O674="","",(O674/(N674)*365))</f>
        <v/>
      </c>
      <c r="Q674" s="19"/>
    </row>
    <row r="675" spans="1:17" x14ac:dyDescent="0.15">
      <c r="A675" s="23"/>
      <c r="B675" s="3"/>
      <c r="C675" s="3"/>
      <c r="D675" s="3"/>
      <c r="E675" s="3"/>
      <c r="F675" s="23"/>
      <c r="G675" s="24"/>
      <c r="H675" s="1"/>
      <c r="I675" s="6"/>
      <c r="J675" s="6"/>
      <c r="K675" s="5"/>
      <c r="L675" s="24"/>
      <c r="M675" s="31" t="str">
        <f t="shared" si="11"/>
        <v/>
      </c>
      <c r="N675" s="7" t="str">
        <f t="shared" si="12"/>
        <v/>
      </c>
      <c r="O675" s="8" t="str">
        <f>IF(J675="","",M675/L675)</f>
        <v/>
      </c>
      <c r="P675" s="9" t="str">
        <f>IF(O675="","",(O675/(N675)*365))</f>
        <v/>
      </c>
      <c r="Q675" s="10"/>
    </row>
    <row r="676" spans="1:17" x14ac:dyDescent="0.15">
      <c r="A676" s="21"/>
      <c r="B676" s="20"/>
      <c r="C676" s="20"/>
      <c r="D676" s="20"/>
      <c r="E676" s="20"/>
      <c r="F676" s="21"/>
      <c r="G676" s="22"/>
      <c r="H676" s="11"/>
      <c r="I676" s="15"/>
      <c r="J676" s="15"/>
      <c r="K676" s="14"/>
      <c r="L676" s="22"/>
      <c r="M676" s="32" t="str">
        <f t="shared" si="11"/>
        <v/>
      </c>
      <c r="N676" s="16" t="str">
        <f t="shared" si="12"/>
        <v/>
      </c>
      <c r="O676" s="17" t="str">
        <f>IF(J676="","",M676/L676)</f>
        <v/>
      </c>
      <c r="P676" s="18" t="str">
        <f>IF(O676="","",(O676/(N676)*365))</f>
        <v/>
      </c>
      <c r="Q676" s="19"/>
    </row>
    <row r="677" spans="1:17" x14ac:dyDescent="0.15">
      <c r="A677" s="23"/>
      <c r="B677" s="3"/>
      <c r="C677" s="3"/>
      <c r="D677" s="3"/>
      <c r="E677" s="3"/>
      <c r="F677" s="23"/>
      <c r="G677" s="24"/>
      <c r="H677" s="1"/>
      <c r="I677" s="6"/>
      <c r="J677" s="6"/>
      <c r="K677" s="5"/>
      <c r="L677" s="24"/>
      <c r="M677" s="31" t="str">
        <f t="shared" si="11"/>
        <v/>
      </c>
      <c r="N677" s="7" t="str">
        <f t="shared" si="12"/>
        <v/>
      </c>
      <c r="O677" s="8" t="str">
        <f>IF(J677="","",M677/L677)</f>
        <v/>
      </c>
      <c r="P677" s="9" t="str">
        <f>IF(O677="","",(O677/(N677)*365))</f>
        <v/>
      </c>
      <c r="Q677" s="10"/>
    </row>
    <row r="678" spans="1:17" x14ac:dyDescent="0.15">
      <c r="A678" s="21"/>
      <c r="B678" s="20"/>
      <c r="C678" s="20"/>
      <c r="D678" s="20"/>
      <c r="E678" s="20"/>
      <c r="F678" s="21"/>
      <c r="G678" s="22"/>
      <c r="H678" s="11"/>
      <c r="I678" s="15"/>
      <c r="J678" s="15"/>
      <c r="K678" s="14"/>
      <c r="L678" s="22"/>
      <c r="M678" s="32" t="str">
        <f t="shared" si="11"/>
        <v/>
      </c>
      <c r="N678" s="16" t="str">
        <f t="shared" si="12"/>
        <v/>
      </c>
      <c r="O678" s="17" t="str">
        <f>IF(J678="","",M678/L678)</f>
        <v/>
      </c>
      <c r="P678" s="18" t="str">
        <f>IF(O678="","",(O678/(N678)*365))</f>
        <v/>
      </c>
      <c r="Q678" s="19"/>
    </row>
    <row r="679" spans="1:17" x14ac:dyDescent="0.15">
      <c r="A679" s="23"/>
      <c r="B679" s="3"/>
      <c r="C679" s="3"/>
      <c r="D679" s="3"/>
      <c r="E679" s="3"/>
      <c r="F679" s="23"/>
      <c r="G679" s="24"/>
      <c r="H679" s="1"/>
      <c r="I679" s="6"/>
      <c r="J679" s="6"/>
      <c r="K679" s="5"/>
      <c r="L679" s="24"/>
      <c r="M679" s="31" t="str">
        <f t="shared" si="11"/>
        <v/>
      </c>
      <c r="N679" s="7" t="str">
        <f t="shared" si="12"/>
        <v/>
      </c>
      <c r="O679" s="8" t="str">
        <f>IF(J679="","",M679/L679)</f>
        <v/>
      </c>
      <c r="P679" s="9" t="str">
        <f>IF(O679="","",(O679/(N679)*365))</f>
        <v/>
      </c>
      <c r="Q679" s="10"/>
    </row>
    <row r="680" spans="1:17" x14ac:dyDescent="0.15">
      <c r="A680" s="21"/>
      <c r="B680" s="20"/>
      <c r="C680" s="20"/>
      <c r="D680" s="20"/>
      <c r="E680" s="20"/>
      <c r="F680" s="21"/>
      <c r="G680" s="22"/>
      <c r="H680" s="11"/>
      <c r="I680" s="15"/>
      <c r="J680" s="15"/>
      <c r="K680" s="14"/>
      <c r="L680" s="22"/>
      <c r="M680" s="32" t="str">
        <f t="shared" si="11"/>
        <v/>
      </c>
      <c r="N680" s="16" t="str">
        <f t="shared" si="12"/>
        <v/>
      </c>
      <c r="O680" s="17" t="str">
        <f>IF(J680="","",M680/L680)</f>
        <v/>
      </c>
      <c r="P680" s="18" t="str">
        <f>IF(O680="","",(O680/(N680)*365))</f>
        <v/>
      </c>
      <c r="Q680" s="19"/>
    </row>
    <row r="681" spans="1:17" x14ac:dyDescent="0.15">
      <c r="A681" s="23"/>
      <c r="B681" s="3"/>
      <c r="C681" s="3"/>
      <c r="D681" s="3"/>
      <c r="E681" s="3"/>
      <c r="F681" s="23"/>
      <c r="G681" s="24"/>
      <c r="H681" s="1"/>
      <c r="I681" s="6"/>
      <c r="J681" s="6"/>
      <c r="K681" s="5"/>
      <c r="L681" s="24"/>
      <c r="M681" s="31" t="str">
        <f t="shared" si="11"/>
        <v/>
      </c>
      <c r="N681" s="7" t="str">
        <f t="shared" si="12"/>
        <v/>
      </c>
      <c r="O681" s="8" t="str">
        <f>IF(J681="","",M681/L681)</f>
        <v/>
      </c>
      <c r="P681" s="9" t="str">
        <f>IF(O681="","",(O681/(N681)*365))</f>
        <v/>
      </c>
      <c r="Q681" s="10"/>
    </row>
    <row r="682" spans="1:17" x14ac:dyDescent="0.15">
      <c r="A682" s="21"/>
      <c r="B682" s="20"/>
      <c r="C682" s="20"/>
      <c r="D682" s="20"/>
      <c r="E682" s="20"/>
      <c r="F682" s="21"/>
      <c r="G682" s="22"/>
      <c r="H682" s="11"/>
      <c r="I682" s="15"/>
      <c r="J682" s="15"/>
      <c r="K682" s="14"/>
      <c r="L682" s="22"/>
      <c r="M682" s="32" t="str">
        <f t="shared" si="11"/>
        <v/>
      </c>
      <c r="N682" s="16" t="str">
        <f t="shared" si="12"/>
        <v/>
      </c>
      <c r="O682" s="17" t="str">
        <f>IF(J682="","",M682/L682)</f>
        <v/>
      </c>
      <c r="P682" s="18" t="str">
        <f>IF(O682="","",(O682/(N682)*365))</f>
        <v/>
      </c>
      <c r="Q682" s="19"/>
    </row>
    <row r="683" spans="1:17" x14ac:dyDescent="0.15">
      <c r="A683" s="23"/>
      <c r="B683" s="3"/>
      <c r="C683" s="3"/>
      <c r="D683" s="3"/>
      <c r="E683" s="3"/>
      <c r="F683" s="23"/>
      <c r="G683" s="24"/>
      <c r="H683" s="1"/>
      <c r="I683" s="6"/>
      <c r="J683" s="6"/>
      <c r="K683" s="5"/>
      <c r="L683" s="24"/>
      <c r="M683" s="31" t="str">
        <f t="shared" si="11"/>
        <v/>
      </c>
      <c r="N683" s="7" t="str">
        <f t="shared" si="12"/>
        <v/>
      </c>
      <c r="O683" s="8" t="str">
        <f>IF(J683="","",M683/L683)</f>
        <v/>
      </c>
      <c r="P683" s="9" t="str">
        <f>IF(O683="","",(O683/(N683)*365))</f>
        <v/>
      </c>
      <c r="Q683" s="10"/>
    </row>
    <row r="684" spans="1:17" x14ac:dyDescent="0.15">
      <c r="A684" s="21"/>
      <c r="B684" s="20"/>
      <c r="C684" s="20"/>
      <c r="D684" s="20"/>
      <c r="E684" s="20"/>
      <c r="F684" s="21"/>
      <c r="G684" s="22"/>
      <c r="H684" s="11"/>
      <c r="I684" s="15"/>
      <c r="J684" s="15"/>
      <c r="K684" s="14"/>
      <c r="L684" s="22"/>
      <c r="M684" s="32" t="str">
        <f t="shared" si="11"/>
        <v/>
      </c>
      <c r="N684" s="16" t="str">
        <f t="shared" si="12"/>
        <v/>
      </c>
      <c r="O684" s="17" t="str">
        <f>IF(J684="","",M684/L684)</f>
        <v/>
      </c>
      <c r="P684" s="18" t="str">
        <f>IF(O684="","",(O684/(N684)*365))</f>
        <v/>
      </c>
      <c r="Q684" s="19"/>
    </row>
    <row r="685" spans="1:17" x14ac:dyDescent="0.15">
      <c r="A685" s="23"/>
      <c r="B685" s="3"/>
      <c r="C685" s="3"/>
      <c r="D685" s="3"/>
      <c r="E685" s="3"/>
      <c r="F685" s="23"/>
      <c r="G685" s="24"/>
      <c r="H685" s="1"/>
      <c r="I685" s="6"/>
      <c r="J685" s="6"/>
      <c r="K685" s="5"/>
      <c r="L685" s="24"/>
      <c r="M685" s="31" t="str">
        <f t="shared" si="11"/>
        <v/>
      </c>
      <c r="N685" s="7" t="str">
        <f t="shared" si="12"/>
        <v/>
      </c>
      <c r="O685" s="8" t="str">
        <f>IF(J685="","",M685/L685)</f>
        <v/>
      </c>
      <c r="P685" s="9" t="str">
        <f>IF(O685="","",(O685/(N685)*365))</f>
        <v/>
      </c>
      <c r="Q685" s="10"/>
    </row>
    <row r="686" spans="1:17" x14ac:dyDescent="0.15">
      <c r="A686" s="21"/>
      <c r="B686" s="20"/>
      <c r="C686" s="20"/>
      <c r="D686" s="20"/>
      <c r="E686" s="20"/>
      <c r="F686" s="21"/>
      <c r="G686" s="22"/>
      <c r="H686" s="11"/>
      <c r="I686" s="15"/>
      <c r="J686" s="15"/>
      <c r="K686" s="14"/>
      <c r="L686" s="22"/>
      <c r="M686" s="32" t="str">
        <f t="shared" si="11"/>
        <v/>
      </c>
      <c r="N686" s="16" t="str">
        <f t="shared" si="12"/>
        <v/>
      </c>
      <c r="O686" s="17" t="str">
        <f>IF(J686="","",M686/L686)</f>
        <v/>
      </c>
      <c r="P686" s="18" t="str">
        <f>IF(O686="","",(O686/(N686)*365))</f>
        <v/>
      </c>
      <c r="Q686" s="19"/>
    </row>
    <row r="687" spans="1:17" x14ac:dyDescent="0.15">
      <c r="A687" s="23"/>
      <c r="B687" s="3"/>
      <c r="C687" s="3"/>
      <c r="D687" s="3"/>
      <c r="E687" s="3"/>
      <c r="F687" s="23"/>
      <c r="G687" s="24"/>
      <c r="H687" s="1"/>
      <c r="I687" s="6"/>
      <c r="J687" s="6"/>
      <c r="K687" s="5"/>
      <c r="L687" s="24"/>
      <c r="M687" s="31" t="str">
        <f t="shared" si="11"/>
        <v/>
      </c>
      <c r="N687" s="7" t="str">
        <f t="shared" si="12"/>
        <v/>
      </c>
      <c r="O687" s="8" t="str">
        <f>IF(J687="","",M687/L687)</f>
        <v/>
      </c>
      <c r="P687" s="9" t="str">
        <f>IF(O687="","",(O687/(N687)*365))</f>
        <v/>
      </c>
      <c r="Q687" s="10"/>
    </row>
    <row r="688" spans="1:17" x14ac:dyDescent="0.15">
      <c r="A688" s="21"/>
      <c r="B688" s="20"/>
      <c r="C688" s="20"/>
      <c r="D688" s="20"/>
      <c r="E688" s="20"/>
      <c r="F688" s="21"/>
      <c r="G688" s="22"/>
      <c r="H688" s="11"/>
      <c r="I688" s="15"/>
      <c r="J688" s="15"/>
      <c r="K688" s="14"/>
      <c r="L688" s="22"/>
      <c r="M688" s="32" t="str">
        <f t="shared" si="11"/>
        <v/>
      </c>
      <c r="N688" s="16" t="str">
        <f t="shared" si="12"/>
        <v/>
      </c>
      <c r="O688" s="17" t="str">
        <f>IF(J688="","",M688/L688)</f>
        <v/>
      </c>
      <c r="P688" s="18" t="str">
        <f>IF(O688="","",(O688/(N688)*365))</f>
        <v/>
      </c>
      <c r="Q688" s="19"/>
    </row>
    <row r="689" spans="1:17" x14ac:dyDescent="0.15">
      <c r="A689" s="23"/>
      <c r="B689" s="3"/>
      <c r="C689" s="3"/>
      <c r="D689" s="3"/>
      <c r="E689" s="3"/>
      <c r="F689" s="23"/>
      <c r="G689" s="24"/>
      <c r="H689" s="1"/>
      <c r="I689" s="6"/>
      <c r="J689" s="6"/>
      <c r="K689" s="5"/>
      <c r="L689" s="24"/>
      <c r="M689" s="31" t="str">
        <f t="shared" si="11"/>
        <v/>
      </c>
      <c r="N689" s="7" t="str">
        <f t="shared" si="12"/>
        <v/>
      </c>
      <c r="O689" s="8" t="str">
        <f>IF(J689="","",M689/L689)</f>
        <v/>
      </c>
      <c r="P689" s="9" t="str">
        <f>IF(O689="","",(O689/(N689)*365))</f>
        <v/>
      </c>
      <c r="Q689" s="10"/>
    </row>
    <row r="690" spans="1:17" x14ac:dyDescent="0.15">
      <c r="A690" s="21"/>
      <c r="B690" s="20"/>
      <c r="C690" s="20"/>
      <c r="D690" s="20"/>
      <c r="E690" s="20"/>
      <c r="F690" s="21"/>
      <c r="G690" s="22"/>
      <c r="H690" s="11"/>
      <c r="I690" s="15"/>
      <c r="J690" s="15"/>
      <c r="K690" s="14"/>
      <c r="L690" s="22"/>
      <c r="M690" s="32" t="str">
        <f t="shared" si="11"/>
        <v/>
      </c>
      <c r="N690" s="16" t="str">
        <f t="shared" si="12"/>
        <v/>
      </c>
      <c r="O690" s="17" t="str">
        <f>IF(J690="","",M690/L690)</f>
        <v/>
      </c>
      <c r="P690" s="18" t="str">
        <f>IF(O690="","",(O690/(N690)*365))</f>
        <v/>
      </c>
      <c r="Q690" s="19"/>
    </row>
    <row r="691" spans="1:17" x14ac:dyDescent="0.15">
      <c r="A691" s="23"/>
      <c r="B691" s="3"/>
      <c r="C691" s="3"/>
      <c r="D691" s="3"/>
      <c r="E691" s="3"/>
      <c r="F691" s="23"/>
      <c r="G691" s="24"/>
      <c r="H691" s="1"/>
      <c r="I691" s="6"/>
      <c r="J691" s="6"/>
      <c r="K691" s="5"/>
      <c r="L691" s="24"/>
      <c r="M691" s="31" t="str">
        <f t="shared" si="11"/>
        <v/>
      </c>
      <c r="N691" s="7" t="str">
        <f t="shared" si="12"/>
        <v/>
      </c>
      <c r="O691" s="8" t="str">
        <f>IF(J691="","",M691/L691)</f>
        <v/>
      </c>
      <c r="P691" s="9" t="str">
        <f>IF(O691="","",(O691/(N691)*365))</f>
        <v/>
      </c>
      <c r="Q691" s="10"/>
    </row>
    <row r="692" spans="1:17" x14ac:dyDescent="0.15">
      <c r="A692" s="21"/>
      <c r="B692" s="20"/>
      <c r="C692" s="20"/>
      <c r="D692" s="20"/>
      <c r="E692" s="20"/>
      <c r="F692" s="21"/>
      <c r="G692" s="22"/>
      <c r="H692" s="11"/>
      <c r="I692" s="15"/>
      <c r="J692" s="15"/>
      <c r="K692" s="14"/>
      <c r="L692" s="22"/>
      <c r="M692" s="32" t="str">
        <f t="shared" si="11"/>
        <v/>
      </c>
      <c r="N692" s="16" t="str">
        <f t="shared" si="12"/>
        <v/>
      </c>
      <c r="O692" s="17" t="str">
        <f>IF(J692="","",M692/L692)</f>
        <v/>
      </c>
      <c r="P692" s="18" t="str">
        <f>IF(O692="","",(O692/(N692)*365))</f>
        <v/>
      </c>
      <c r="Q692" s="19"/>
    </row>
    <row r="693" spans="1:17" x14ac:dyDescent="0.15">
      <c r="A693" s="23"/>
      <c r="B693" s="3"/>
      <c r="C693" s="3"/>
      <c r="D693" s="3"/>
      <c r="E693" s="3"/>
      <c r="F693" s="23"/>
      <c r="G693" s="24"/>
      <c r="H693" s="1"/>
      <c r="I693" s="6"/>
      <c r="J693" s="6"/>
      <c r="K693" s="5"/>
      <c r="L693" s="24"/>
      <c r="M693" s="31" t="str">
        <f t="shared" si="11"/>
        <v/>
      </c>
      <c r="N693" s="7" t="str">
        <f t="shared" si="12"/>
        <v/>
      </c>
      <c r="O693" s="8" t="str">
        <f>IF(J693="","",M693/L693)</f>
        <v/>
      </c>
      <c r="P693" s="9" t="str">
        <f>IF(O693="","",(O693/(N693)*365))</f>
        <v/>
      </c>
      <c r="Q693" s="10"/>
    </row>
    <row r="694" spans="1:17" x14ac:dyDescent="0.15">
      <c r="A694" s="21"/>
      <c r="B694" s="20"/>
      <c r="C694" s="20"/>
      <c r="D694" s="20"/>
      <c r="E694" s="20"/>
      <c r="F694" s="21"/>
      <c r="G694" s="22"/>
      <c r="H694" s="11"/>
      <c r="I694" s="15"/>
      <c r="J694" s="15"/>
      <c r="K694" s="14"/>
      <c r="L694" s="22"/>
      <c r="M694" s="32" t="str">
        <f t="shared" si="11"/>
        <v/>
      </c>
      <c r="N694" s="16" t="str">
        <f t="shared" si="12"/>
        <v/>
      </c>
      <c r="O694" s="17" t="str">
        <f>IF(J694="","",M694/L694)</f>
        <v/>
      </c>
      <c r="P694" s="18" t="str">
        <f>IF(O694="","",(O694/(N694)*365))</f>
        <v/>
      </c>
      <c r="Q694" s="19"/>
    </row>
    <row r="695" spans="1:17" x14ac:dyDescent="0.15">
      <c r="A695" s="23"/>
      <c r="B695" s="3"/>
      <c r="C695" s="3"/>
      <c r="D695" s="3"/>
      <c r="E695" s="3"/>
      <c r="F695" s="23"/>
      <c r="G695" s="24"/>
      <c r="H695" s="1"/>
      <c r="I695" s="6"/>
      <c r="J695" s="6"/>
      <c r="K695" s="5"/>
      <c r="L695" s="24"/>
      <c r="M695" s="31" t="str">
        <f t="shared" si="11"/>
        <v/>
      </c>
      <c r="N695" s="7" t="str">
        <f t="shared" si="12"/>
        <v/>
      </c>
      <c r="O695" s="8" t="str">
        <f>IF(J695="","",M695/L695)</f>
        <v/>
      </c>
      <c r="P695" s="9" t="str">
        <f>IF(O695="","",(O695/(N695)*365))</f>
        <v/>
      </c>
      <c r="Q695" s="10"/>
    </row>
    <row r="696" spans="1:17" x14ac:dyDescent="0.15">
      <c r="A696" s="21"/>
      <c r="B696" s="20"/>
      <c r="C696" s="20"/>
      <c r="D696" s="20"/>
      <c r="E696" s="20"/>
      <c r="F696" s="21"/>
      <c r="G696" s="22"/>
      <c r="H696" s="11"/>
      <c r="I696" s="15"/>
      <c r="J696" s="15"/>
      <c r="K696" s="14"/>
      <c r="L696" s="22"/>
      <c r="M696" s="32" t="str">
        <f t="shared" si="11"/>
        <v/>
      </c>
      <c r="N696" s="16" t="str">
        <f t="shared" si="12"/>
        <v/>
      </c>
      <c r="O696" s="17" t="str">
        <f>IF(J696="","",M696/L696)</f>
        <v/>
      </c>
      <c r="P696" s="18" t="str">
        <f>IF(O696="","",(O696/(N696)*365))</f>
        <v/>
      </c>
      <c r="Q696" s="19"/>
    </row>
    <row r="697" spans="1:17" x14ac:dyDescent="0.15">
      <c r="A697" s="23"/>
      <c r="B697" s="3"/>
      <c r="C697" s="3"/>
      <c r="D697" s="3"/>
      <c r="E697" s="3"/>
      <c r="F697" s="23"/>
      <c r="G697" s="24"/>
      <c r="H697" s="1"/>
      <c r="I697" s="6"/>
      <c r="J697" s="6"/>
      <c r="K697" s="5"/>
      <c r="L697" s="24"/>
      <c r="M697" s="31" t="str">
        <f t="shared" si="11"/>
        <v/>
      </c>
      <c r="N697" s="7" t="str">
        <f t="shared" si="12"/>
        <v/>
      </c>
      <c r="O697" s="8" t="str">
        <f>IF(J697="","",M697/L697)</f>
        <v/>
      </c>
      <c r="P697" s="9" t="str">
        <f>IF(O697="","",(O697/(N697)*365))</f>
        <v/>
      </c>
      <c r="Q697" s="10"/>
    </row>
    <row r="698" spans="1:17" x14ac:dyDescent="0.15">
      <c r="A698" s="21"/>
      <c r="B698" s="20"/>
      <c r="C698" s="20"/>
      <c r="D698" s="20"/>
      <c r="E698" s="20"/>
      <c r="F698" s="21"/>
      <c r="G698" s="22"/>
      <c r="H698" s="11"/>
      <c r="I698" s="15"/>
      <c r="J698" s="15"/>
      <c r="K698" s="14"/>
      <c r="L698" s="22"/>
      <c r="M698" s="32" t="str">
        <f t="shared" si="11"/>
        <v/>
      </c>
      <c r="N698" s="16" t="str">
        <f t="shared" si="12"/>
        <v/>
      </c>
      <c r="O698" s="17" t="str">
        <f>IF(J698="","",M698/L698)</f>
        <v/>
      </c>
      <c r="P698" s="18" t="str">
        <f>IF(O698="","",(O698/(N698)*365))</f>
        <v/>
      </c>
      <c r="Q698" s="19"/>
    </row>
    <row r="699" spans="1:17" x14ac:dyDescent="0.15">
      <c r="A699" s="23"/>
      <c r="B699" s="3"/>
      <c r="C699" s="3"/>
      <c r="D699" s="3"/>
      <c r="E699" s="3"/>
      <c r="F699" s="23"/>
      <c r="G699" s="24"/>
      <c r="H699" s="1"/>
      <c r="I699" s="6"/>
      <c r="J699" s="6"/>
      <c r="K699" s="5"/>
      <c r="L699" s="24"/>
      <c r="M699" s="31" t="str">
        <f t="shared" si="11"/>
        <v/>
      </c>
      <c r="N699" s="7" t="str">
        <f t="shared" si="12"/>
        <v/>
      </c>
      <c r="O699" s="8" t="str">
        <f>IF(J699="","",M699/L699)</f>
        <v/>
      </c>
      <c r="P699" s="9" t="str">
        <f>IF(O699="","",(O699/(N699)*365))</f>
        <v/>
      </c>
      <c r="Q699" s="10"/>
    </row>
    <row r="700" spans="1:17" x14ac:dyDescent="0.15">
      <c r="A700" s="21"/>
      <c r="B700" s="20"/>
      <c r="C700" s="20"/>
      <c r="D700" s="20"/>
      <c r="E700" s="20"/>
      <c r="F700" s="21"/>
      <c r="G700" s="22"/>
      <c r="H700" s="11"/>
      <c r="I700" s="15"/>
      <c r="J700" s="15"/>
      <c r="K700" s="14"/>
      <c r="L700" s="22"/>
      <c r="M700" s="32" t="str">
        <f t="shared" si="11"/>
        <v/>
      </c>
      <c r="N700" s="16" t="str">
        <f t="shared" si="12"/>
        <v/>
      </c>
      <c r="O700" s="17" t="str">
        <f>IF(J700="","",M700/L700)</f>
        <v/>
      </c>
      <c r="P700" s="18" t="str">
        <f>IF(O700="","",(O700/(N700)*365))</f>
        <v/>
      </c>
      <c r="Q700" s="19"/>
    </row>
    <row r="701" spans="1:17" x14ac:dyDescent="0.15">
      <c r="A701" s="23"/>
      <c r="B701" s="3"/>
      <c r="C701" s="3"/>
      <c r="D701" s="3"/>
      <c r="E701" s="3"/>
      <c r="F701" s="23"/>
      <c r="G701" s="24"/>
      <c r="H701" s="1"/>
      <c r="I701" s="6"/>
      <c r="J701" s="6"/>
      <c r="K701" s="5"/>
      <c r="L701" s="24"/>
      <c r="M701" s="31" t="str">
        <f t="shared" si="11"/>
        <v/>
      </c>
      <c r="N701" s="7" t="str">
        <f t="shared" si="12"/>
        <v/>
      </c>
      <c r="O701" s="8" t="str">
        <f>IF(J701="","",M701/L701)</f>
        <v/>
      </c>
      <c r="P701" s="9" t="str">
        <f>IF(O701="","",(O701/(N701)*365))</f>
        <v/>
      </c>
      <c r="Q701" s="10"/>
    </row>
    <row r="702" spans="1:17" x14ac:dyDescent="0.15">
      <c r="A702" s="21"/>
      <c r="B702" s="20"/>
      <c r="C702" s="20"/>
      <c r="D702" s="20"/>
      <c r="E702" s="20"/>
      <c r="F702" s="21"/>
      <c r="G702" s="22"/>
      <c r="H702" s="11"/>
      <c r="I702" s="15"/>
      <c r="J702" s="15"/>
      <c r="K702" s="14"/>
      <c r="L702" s="22"/>
      <c r="M702" s="32" t="str">
        <f t="shared" si="11"/>
        <v/>
      </c>
      <c r="N702" s="16" t="str">
        <f t="shared" si="12"/>
        <v/>
      </c>
      <c r="O702" s="17" t="str">
        <f>IF(J702="","",M702/L702)</f>
        <v/>
      </c>
      <c r="P702" s="18" t="str">
        <f>IF(O702="","",(O702/(N702)*365))</f>
        <v/>
      </c>
      <c r="Q702" s="19"/>
    </row>
    <row r="703" spans="1:17" x14ac:dyDescent="0.15">
      <c r="A703" s="23"/>
      <c r="B703" s="3"/>
      <c r="C703" s="3"/>
      <c r="D703" s="3"/>
      <c r="E703" s="3"/>
      <c r="F703" s="23"/>
      <c r="G703" s="24"/>
      <c r="H703" s="1"/>
      <c r="I703" s="6"/>
      <c r="J703" s="6"/>
      <c r="K703" s="5"/>
      <c r="L703" s="24"/>
      <c r="M703" s="31" t="str">
        <f t="shared" si="11"/>
        <v/>
      </c>
      <c r="N703" s="7" t="str">
        <f t="shared" si="12"/>
        <v/>
      </c>
      <c r="O703" s="8" t="str">
        <f>IF(J703="","",M703/L703)</f>
        <v/>
      </c>
      <c r="P703" s="9" t="str">
        <f>IF(O703="","",(O703/(N703)*365))</f>
        <v/>
      </c>
      <c r="Q703" s="10"/>
    </row>
    <row r="704" spans="1:17" x14ac:dyDescent="0.15">
      <c r="A704" s="21"/>
      <c r="B704" s="20"/>
      <c r="C704" s="20"/>
      <c r="D704" s="20"/>
      <c r="E704" s="20"/>
      <c r="F704" s="21"/>
      <c r="G704" s="22"/>
      <c r="H704" s="11"/>
      <c r="I704" s="15"/>
      <c r="J704" s="15"/>
      <c r="K704" s="14"/>
      <c r="L704" s="22"/>
      <c r="M704" s="32" t="str">
        <f t="shared" si="11"/>
        <v/>
      </c>
      <c r="N704" s="16" t="str">
        <f t="shared" si="12"/>
        <v/>
      </c>
      <c r="O704" s="17" t="str">
        <f>IF(J704="","",M704/L704)</f>
        <v/>
      </c>
      <c r="P704" s="18" t="str">
        <f>IF(O704="","",(O704/(N704)*365))</f>
        <v/>
      </c>
      <c r="Q704" s="19"/>
    </row>
    <row r="705" spans="1:17" x14ac:dyDescent="0.15">
      <c r="A705" s="23"/>
      <c r="B705" s="3"/>
      <c r="C705" s="3"/>
      <c r="D705" s="3"/>
      <c r="E705" s="3"/>
      <c r="F705" s="23"/>
      <c r="G705" s="24"/>
      <c r="H705" s="1"/>
      <c r="I705" s="6"/>
      <c r="J705" s="6"/>
      <c r="K705" s="5"/>
      <c r="L705" s="24"/>
      <c r="M705" s="31" t="str">
        <f t="shared" si="11"/>
        <v/>
      </c>
      <c r="N705" s="7" t="str">
        <f t="shared" si="12"/>
        <v/>
      </c>
      <c r="O705" s="8" t="str">
        <f>IF(J705="","",M705/L705)</f>
        <v/>
      </c>
      <c r="P705" s="9" t="str">
        <f>IF(O705="","",(O705/(N705)*365))</f>
        <v/>
      </c>
      <c r="Q705" s="10"/>
    </row>
    <row r="706" spans="1:17" x14ac:dyDescent="0.15">
      <c r="A706" s="21"/>
      <c r="B706" s="20"/>
      <c r="C706" s="20"/>
      <c r="D706" s="20"/>
      <c r="E706" s="20"/>
      <c r="F706" s="21"/>
      <c r="G706" s="22"/>
      <c r="H706" s="11"/>
      <c r="I706" s="15"/>
      <c r="J706" s="15"/>
      <c r="K706" s="14"/>
      <c r="L706" s="22"/>
      <c r="M706" s="32" t="str">
        <f t="shared" si="11"/>
        <v/>
      </c>
      <c r="N706" s="16" t="str">
        <f t="shared" si="12"/>
        <v/>
      </c>
      <c r="O706" s="17" t="str">
        <f>IF(J706="","",M706/L706)</f>
        <v/>
      </c>
      <c r="P706" s="18" t="str">
        <f>IF(O706="","",(O706/(N706)*365))</f>
        <v/>
      </c>
      <c r="Q706" s="19"/>
    </row>
    <row r="707" spans="1:17" x14ac:dyDescent="0.15">
      <c r="A707" s="23"/>
      <c r="B707" s="3"/>
      <c r="C707" s="3"/>
      <c r="D707" s="3"/>
      <c r="E707" s="3"/>
      <c r="F707" s="23"/>
      <c r="G707" s="24"/>
      <c r="H707" s="1"/>
      <c r="I707" s="6"/>
      <c r="J707" s="6"/>
      <c r="K707" s="5"/>
      <c r="L707" s="24"/>
      <c r="M707" s="31" t="str">
        <f t="shared" si="11"/>
        <v/>
      </c>
      <c r="N707" s="7" t="str">
        <f t="shared" si="12"/>
        <v/>
      </c>
      <c r="O707" s="8" t="str">
        <f>IF(J707="","",M707/L707)</f>
        <v/>
      </c>
      <c r="P707" s="9" t="str">
        <f>IF(O707="","",(O707/(N707)*365))</f>
        <v/>
      </c>
      <c r="Q707" s="10"/>
    </row>
    <row r="708" spans="1:17" x14ac:dyDescent="0.15">
      <c r="A708" s="21"/>
      <c r="B708" s="20"/>
      <c r="C708" s="20"/>
      <c r="D708" s="20"/>
      <c r="E708" s="20"/>
      <c r="F708" s="21"/>
      <c r="G708" s="22"/>
      <c r="H708" s="11"/>
      <c r="I708" s="15"/>
      <c r="J708" s="15"/>
      <c r="K708" s="14"/>
      <c r="L708" s="22"/>
      <c r="M708" s="32" t="str">
        <f t="shared" si="11"/>
        <v/>
      </c>
      <c r="N708" s="16" t="str">
        <f t="shared" si="12"/>
        <v/>
      </c>
      <c r="O708" s="17" t="str">
        <f>IF(J708="","",M708/L708)</f>
        <v/>
      </c>
      <c r="P708" s="18" t="str">
        <f>IF(O708="","",(O708/(N708)*365))</f>
        <v/>
      </c>
      <c r="Q708" s="19"/>
    </row>
    <row r="709" spans="1:17" x14ac:dyDescent="0.15">
      <c r="A709" s="23"/>
      <c r="B709" s="3"/>
      <c r="C709" s="3"/>
      <c r="D709" s="3"/>
      <c r="E709" s="3"/>
      <c r="F709" s="23"/>
      <c r="G709" s="24"/>
      <c r="H709" s="1"/>
      <c r="I709" s="6"/>
      <c r="J709" s="6"/>
      <c r="K709" s="5"/>
      <c r="L709" s="24"/>
      <c r="M709" s="31" t="str">
        <f t="shared" si="11"/>
        <v/>
      </c>
      <c r="N709" s="7" t="str">
        <f t="shared" si="12"/>
        <v/>
      </c>
      <c r="O709" s="8" t="str">
        <f>IF(J709="","",M709/L709)</f>
        <v/>
      </c>
      <c r="P709" s="9" t="str">
        <f>IF(O709="","",(O709/(N709)*365))</f>
        <v/>
      </c>
      <c r="Q709" s="10"/>
    </row>
    <row r="710" spans="1:17" x14ac:dyDescent="0.15">
      <c r="A710" s="21"/>
      <c r="B710" s="20"/>
      <c r="C710" s="20"/>
      <c r="D710" s="20"/>
      <c r="E710" s="20"/>
      <c r="F710" s="21"/>
      <c r="G710" s="22"/>
      <c r="H710" s="11"/>
      <c r="I710" s="15"/>
      <c r="J710" s="15"/>
      <c r="K710" s="14"/>
      <c r="L710" s="22"/>
      <c r="M710" s="32" t="str">
        <f t="shared" si="11"/>
        <v/>
      </c>
      <c r="N710" s="16" t="str">
        <f t="shared" si="12"/>
        <v/>
      </c>
      <c r="O710" s="17" t="str">
        <f>IF(J710="","",M710/L710)</f>
        <v/>
      </c>
      <c r="P710" s="18" t="str">
        <f>IF(O710="","",(O710/(N710)*365))</f>
        <v/>
      </c>
      <c r="Q710" s="19"/>
    </row>
    <row r="711" spans="1:17" x14ac:dyDescent="0.15">
      <c r="A711" s="23"/>
      <c r="B711" s="3"/>
      <c r="C711" s="3"/>
      <c r="D711" s="3"/>
      <c r="E711" s="3"/>
      <c r="F711" s="23"/>
      <c r="G711" s="24"/>
      <c r="H711" s="1"/>
      <c r="I711" s="6"/>
      <c r="J711" s="6"/>
      <c r="K711" s="5"/>
      <c r="L711" s="24"/>
      <c r="M711" s="31" t="str">
        <f t="shared" si="11"/>
        <v/>
      </c>
      <c r="N711" s="7" t="str">
        <f t="shared" si="12"/>
        <v/>
      </c>
      <c r="O711" s="8" t="str">
        <f>IF(J711="","",M711/L711)</f>
        <v/>
      </c>
      <c r="P711" s="9" t="str">
        <f>IF(O711="","",(O711/(N711)*365))</f>
        <v/>
      </c>
      <c r="Q711" s="10"/>
    </row>
    <row r="712" spans="1:17" x14ac:dyDescent="0.15">
      <c r="A712" s="21"/>
      <c r="B712" s="20"/>
      <c r="C712" s="20"/>
      <c r="D712" s="20"/>
      <c r="E712" s="20"/>
      <c r="F712" s="21"/>
      <c r="G712" s="22"/>
      <c r="H712" s="11"/>
      <c r="I712" s="15"/>
      <c r="J712" s="15"/>
      <c r="K712" s="14"/>
      <c r="L712" s="22"/>
      <c r="M712" s="32" t="str">
        <f t="shared" si="11"/>
        <v/>
      </c>
      <c r="N712" s="16" t="str">
        <f t="shared" si="12"/>
        <v/>
      </c>
      <c r="O712" s="17" t="str">
        <f>IF(J712="","",M712/L712)</f>
        <v/>
      </c>
      <c r="P712" s="18" t="str">
        <f>IF(O712="","",(O712/(N712)*365))</f>
        <v/>
      </c>
      <c r="Q712" s="19"/>
    </row>
    <row r="713" spans="1:17" x14ac:dyDescent="0.15">
      <c r="A713" s="23"/>
      <c r="B713" s="3"/>
      <c r="C713" s="3"/>
      <c r="D713" s="3"/>
      <c r="E713" s="3"/>
      <c r="F713" s="23"/>
      <c r="G713" s="24"/>
      <c r="H713" s="1"/>
      <c r="I713" s="6"/>
      <c r="J713" s="6"/>
      <c r="K713" s="5"/>
      <c r="L713" s="24"/>
      <c r="M713" s="31" t="str">
        <f t="shared" si="11"/>
        <v/>
      </c>
      <c r="N713" s="7" t="str">
        <f t="shared" si="12"/>
        <v/>
      </c>
      <c r="O713" s="8" t="str">
        <f>IF(J713="","",M713/L713)</f>
        <v/>
      </c>
      <c r="P713" s="9" t="str">
        <f>IF(O713="","",(O713/(N713)*365))</f>
        <v/>
      </c>
      <c r="Q713" s="10"/>
    </row>
    <row r="714" spans="1:17" x14ac:dyDescent="0.15">
      <c r="A714" s="21"/>
      <c r="B714" s="20"/>
      <c r="C714" s="20"/>
      <c r="D714" s="20"/>
      <c r="E714" s="20"/>
      <c r="F714" s="21"/>
      <c r="G714" s="22"/>
      <c r="H714" s="11"/>
      <c r="I714" s="15"/>
      <c r="J714" s="15"/>
      <c r="K714" s="14"/>
      <c r="L714" s="22"/>
      <c r="M714" s="32" t="str">
        <f t="shared" si="11"/>
        <v/>
      </c>
      <c r="N714" s="16" t="str">
        <f t="shared" si="12"/>
        <v/>
      </c>
      <c r="O714" s="17" t="str">
        <f>IF(J714="","",M714/L714)</f>
        <v/>
      </c>
      <c r="P714" s="18" t="str">
        <f>IF(O714="","",(O714/(N714)*365))</f>
        <v/>
      </c>
      <c r="Q714" s="19"/>
    </row>
    <row r="715" spans="1:17" x14ac:dyDescent="0.15">
      <c r="A715" s="23"/>
      <c r="B715" s="3"/>
      <c r="C715" s="3"/>
      <c r="D715" s="3"/>
      <c r="E715" s="3"/>
      <c r="F715" s="23"/>
      <c r="G715" s="24"/>
      <c r="H715" s="1"/>
      <c r="I715" s="6"/>
      <c r="J715" s="6"/>
      <c r="K715" s="5"/>
      <c r="L715" s="24"/>
      <c r="M715" s="31" t="str">
        <f t="shared" si="11"/>
        <v/>
      </c>
      <c r="N715" s="7" t="str">
        <f t="shared" si="12"/>
        <v/>
      </c>
      <c r="O715" s="8" t="str">
        <f>IF(J715="","",M715/L715)</f>
        <v/>
      </c>
      <c r="P715" s="9" t="str">
        <f>IF(O715="","",(O715/(N715)*365))</f>
        <v/>
      </c>
      <c r="Q715" s="10"/>
    </row>
    <row r="716" spans="1:17" x14ac:dyDescent="0.15">
      <c r="A716" s="21"/>
      <c r="B716" s="20"/>
      <c r="C716" s="20"/>
      <c r="D716" s="20"/>
      <c r="E716" s="20"/>
      <c r="F716" s="21"/>
      <c r="G716" s="22"/>
      <c r="H716" s="11"/>
      <c r="I716" s="15"/>
      <c r="J716" s="15"/>
      <c r="K716" s="14"/>
      <c r="L716" s="22"/>
      <c r="M716" s="32" t="str">
        <f t="shared" si="11"/>
        <v/>
      </c>
      <c r="N716" s="16" t="str">
        <f t="shared" si="12"/>
        <v/>
      </c>
      <c r="O716" s="17" t="str">
        <f>IF(J716="","",M716/L716)</f>
        <v/>
      </c>
      <c r="P716" s="18" t="str">
        <f>IF(O716="","",(O716/(N716)*365))</f>
        <v/>
      </c>
      <c r="Q716" s="19"/>
    </row>
    <row r="717" spans="1:17" x14ac:dyDescent="0.15">
      <c r="A717" s="23"/>
      <c r="B717" s="3"/>
      <c r="C717" s="3"/>
      <c r="D717" s="3"/>
      <c r="E717" s="3"/>
      <c r="F717" s="23"/>
      <c r="G717" s="24"/>
      <c r="H717" s="1"/>
      <c r="I717" s="6"/>
      <c r="J717" s="6"/>
      <c r="K717" s="5"/>
      <c r="L717" s="24"/>
      <c r="M717" s="31" t="str">
        <f t="shared" si="11"/>
        <v/>
      </c>
      <c r="N717" s="7" t="str">
        <f t="shared" si="12"/>
        <v/>
      </c>
      <c r="O717" s="8" t="str">
        <f>IF(J717="","",M717/L717)</f>
        <v/>
      </c>
      <c r="P717" s="9" t="str">
        <f>IF(O717="","",(O717/(N717)*365))</f>
        <v/>
      </c>
      <c r="Q717" s="10"/>
    </row>
    <row r="718" spans="1:17" x14ac:dyDescent="0.15">
      <c r="A718" s="21"/>
      <c r="B718" s="20"/>
      <c r="C718" s="20"/>
      <c r="D718" s="20"/>
      <c r="E718" s="20"/>
      <c r="F718" s="21"/>
      <c r="G718" s="22"/>
      <c r="H718" s="11"/>
      <c r="I718" s="15"/>
      <c r="J718" s="15"/>
      <c r="K718" s="14"/>
      <c r="L718" s="22"/>
      <c r="M718" s="32" t="str">
        <f t="shared" si="11"/>
        <v/>
      </c>
      <c r="N718" s="16" t="str">
        <f t="shared" si="12"/>
        <v/>
      </c>
      <c r="O718" s="17" t="str">
        <f>IF(J718="","",M718/L718)</f>
        <v/>
      </c>
      <c r="P718" s="18" t="str">
        <f>IF(O718="","",(O718/(N718)*365))</f>
        <v/>
      </c>
      <c r="Q718" s="19"/>
    </row>
    <row r="719" spans="1:17" x14ac:dyDescent="0.15">
      <c r="A719" s="23"/>
      <c r="B719" s="3"/>
      <c r="C719" s="3"/>
      <c r="D719" s="3"/>
      <c r="E719" s="3"/>
      <c r="F719" s="23"/>
      <c r="G719" s="24"/>
      <c r="H719" s="1"/>
      <c r="I719" s="6"/>
      <c r="J719" s="6"/>
      <c r="K719" s="5"/>
      <c r="L719" s="24"/>
      <c r="M719" s="31" t="str">
        <f t="shared" si="11"/>
        <v/>
      </c>
      <c r="N719" s="7" t="str">
        <f t="shared" si="12"/>
        <v/>
      </c>
      <c r="O719" s="8" t="str">
        <f>IF(J719="","",M719/L719)</f>
        <v/>
      </c>
      <c r="P719" s="9" t="str">
        <f>IF(O719="","",(O719/(N719)*365))</f>
        <v/>
      </c>
      <c r="Q719" s="10"/>
    </row>
    <row r="720" spans="1:17" x14ac:dyDescent="0.15">
      <c r="A720" s="21"/>
      <c r="B720" s="20"/>
      <c r="C720" s="20"/>
      <c r="D720" s="20"/>
      <c r="E720" s="20"/>
      <c r="F720" s="21"/>
      <c r="G720" s="22"/>
      <c r="H720" s="11"/>
      <c r="I720" s="15"/>
      <c r="J720" s="15"/>
      <c r="K720" s="14"/>
      <c r="L720" s="22"/>
      <c r="M720" s="32" t="str">
        <f t="shared" si="11"/>
        <v/>
      </c>
      <c r="N720" s="16" t="str">
        <f t="shared" si="12"/>
        <v/>
      </c>
      <c r="O720" s="17" t="str">
        <f>IF(J720="","",M720/L720)</f>
        <v/>
      </c>
      <c r="P720" s="18" t="str">
        <f>IF(O720="","",(O720/(N720)*365))</f>
        <v/>
      </c>
      <c r="Q720" s="19"/>
    </row>
    <row r="721" spans="1:17" x14ac:dyDescent="0.15">
      <c r="A721" s="23"/>
      <c r="B721" s="3"/>
      <c r="C721" s="3"/>
      <c r="D721" s="3"/>
      <c r="E721" s="3"/>
      <c r="F721" s="23"/>
      <c r="G721" s="24"/>
      <c r="H721" s="1"/>
      <c r="I721" s="6"/>
      <c r="J721" s="6"/>
      <c r="K721" s="5"/>
      <c r="L721" s="24"/>
      <c r="M721" s="31" t="str">
        <f t="shared" si="11"/>
        <v/>
      </c>
      <c r="N721" s="7" t="str">
        <f t="shared" si="12"/>
        <v/>
      </c>
      <c r="O721" s="8" t="str">
        <f>IF(J721="","",M721/L721)</f>
        <v/>
      </c>
      <c r="P721" s="9" t="str">
        <f>IF(O721="","",(O721/(N721)*365))</f>
        <v/>
      </c>
      <c r="Q721" s="10"/>
    </row>
    <row r="722" spans="1:17" x14ac:dyDescent="0.15">
      <c r="A722" s="21"/>
      <c r="B722" s="20"/>
      <c r="C722" s="20"/>
      <c r="D722" s="20"/>
      <c r="E722" s="20"/>
      <c r="F722" s="21"/>
      <c r="G722" s="22"/>
      <c r="H722" s="11"/>
      <c r="I722" s="15"/>
      <c r="J722" s="15"/>
      <c r="K722" s="14"/>
      <c r="L722" s="22"/>
      <c r="M722" s="32" t="str">
        <f t="shared" si="11"/>
        <v/>
      </c>
      <c r="N722" s="16" t="str">
        <f t="shared" si="12"/>
        <v/>
      </c>
      <c r="O722" s="17" t="str">
        <f>IF(J722="","",M722/L722)</f>
        <v/>
      </c>
      <c r="P722" s="18" t="str">
        <f>IF(O722="","",(O722/(N722)*365))</f>
        <v/>
      </c>
      <c r="Q722" s="19"/>
    </row>
    <row r="723" spans="1:17" x14ac:dyDescent="0.15">
      <c r="A723" s="23"/>
      <c r="B723" s="3"/>
      <c r="C723" s="3"/>
      <c r="D723" s="3"/>
      <c r="E723" s="3"/>
      <c r="F723" s="23"/>
      <c r="G723" s="24"/>
      <c r="H723" s="1"/>
      <c r="I723" s="6"/>
      <c r="J723" s="6"/>
      <c r="K723" s="5"/>
      <c r="L723" s="24"/>
      <c r="M723" s="31" t="str">
        <f t="shared" si="11"/>
        <v/>
      </c>
      <c r="N723" s="7" t="str">
        <f t="shared" si="12"/>
        <v/>
      </c>
      <c r="O723" s="8" t="str">
        <f>IF(J723="","",M723/L723)</f>
        <v/>
      </c>
      <c r="P723" s="9" t="str">
        <f>IF(O723="","",(O723/(N723)*365))</f>
        <v/>
      </c>
      <c r="Q723" s="10"/>
    </row>
    <row r="724" spans="1:17" x14ac:dyDescent="0.15">
      <c r="A724" s="21"/>
      <c r="B724" s="20"/>
      <c r="C724" s="20"/>
      <c r="D724" s="20"/>
      <c r="E724" s="20"/>
      <c r="F724" s="21"/>
      <c r="G724" s="22"/>
      <c r="H724" s="11"/>
      <c r="I724" s="15"/>
      <c r="J724" s="15"/>
      <c r="K724" s="14"/>
      <c r="L724" s="22"/>
      <c r="M724" s="32" t="str">
        <f t="shared" si="11"/>
        <v/>
      </c>
      <c r="N724" s="16" t="str">
        <f t="shared" si="12"/>
        <v/>
      </c>
      <c r="O724" s="17" t="str">
        <f>IF(J724="","",M724/L724)</f>
        <v/>
      </c>
      <c r="P724" s="18" t="str">
        <f>IF(O724="","",(O724/(N724)*365))</f>
        <v/>
      </c>
      <c r="Q724" s="19"/>
    </row>
    <row r="725" spans="1:17" x14ac:dyDescent="0.15">
      <c r="A725" s="23"/>
      <c r="B725" s="3"/>
      <c r="C725" s="3"/>
      <c r="D725" s="3"/>
      <c r="E725" s="3"/>
      <c r="F725" s="23"/>
      <c r="G725" s="24"/>
      <c r="H725" s="1"/>
      <c r="I725" s="6"/>
      <c r="J725" s="6"/>
      <c r="K725" s="5"/>
      <c r="L725" s="24"/>
      <c r="M725" s="31" t="str">
        <f t="shared" si="11"/>
        <v/>
      </c>
      <c r="N725" s="7" t="str">
        <f t="shared" si="12"/>
        <v/>
      </c>
      <c r="O725" s="8" t="str">
        <f>IF(J725="","",M725/L725)</f>
        <v/>
      </c>
      <c r="P725" s="9" t="str">
        <f>IF(O725="","",(O725/(N725)*365))</f>
        <v/>
      </c>
      <c r="Q725" s="10"/>
    </row>
    <row r="726" spans="1:17" x14ac:dyDescent="0.15">
      <c r="A726" s="21"/>
      <c r="B726" s="20"/>
      <c r="C726" s="20"/>
      <c r="D726" s="20"/>
      <c r="E726" s="20"/>
      <c r="F726" s="21"/>
      <c r="G726" s="22"/>
      <c r="H726" s="11"/>
      <c r="I726" s="15"/>
      <c r="J726" s="15"/>
      <c r="K726" s="14"/>
      <c r="L726" s="22"/>
      <c r="M726" s="32" t="str">
        <f t="shared" si="11"/>
        <v/>
      </c>
      <c r="N726" s="16" t="str">
        <f t="shared" si="12"/>
        <v/>
      </c>
      <c r="O726" s="17" t="str">
        <f>IF(J726="","",M726/L726)</f>
        <v/>
      </c>
      <c r="P726" s="18" t="str">
        <f>IF(O726="","",(O726/(N726)*365))</f>
        <v/>
      </c>
      <c r="Q726" s="19"/>
    </row>
    <row r="727" spans="1:17" x14ac:dyDescent="0.15">
      <c r="A727" s="23"/>
      <c r="B727" s="3"/>
      <c r="C727" s="3"/>
      <c r="D727" s="3"/>
      <c r="E727" s="3"/>
      <c r="F727" s="23"/>
      <c r="G727" s="24"/>
      <c r="H727" s="1"/>
      <c r="I727" s="6"/>
      <c r="J727" s="6"/>
      <c r="K727" s="5"/>
      <c r="L727" s="24"/>
      <c r="M727" s="31" t="str">
        <f t="shared" si="11"/>
        <v/>
      </c>
      <c r="N727" s="7" t="str">
        <f t="shared" si="12"/>
        <v/>
      </c>
      <c r="O727" s="8" t="str">
        <f>IF(J727="","",M727/L727)</f>
        <v/>
      </c>
      <c r="P727" s="9" t="str">
        <f>IF(O727="","",(O727/(N727)*365))</f>
        <v/>
      </c>
      <c r="Q727" s="10"/>
    </row>
    <row r="728" spans="1:17" x14ac:dyDescent="0.15">
      <c r="A728" s="21"/>
      <c r="B728" s="20"/>
      <c r="C728" s="20"/>
      <c r="D728" s="20"/>
      <c r="E728" s="20"/>
      <c r="F728" s="21"/>
      <c r="G728" s="22"/>
      <c r="H728" s="11"/>
      <c r="I728" s="15"/>
      <c r="J728" s="15"/>
      <c r="K728" s="14"/>
      <c r="L728" s="22"/>
      <c r="M728" s="32" t="str">
        <f t="shared" si="11"/>
        <v/>
      </c>
      <c r="N728" s="16" t="str">
        <f t="shared" si="12"/>
        <v/>
      </c>
      <c r="O728" s="17" t="str">
        <f>IF(J728="","",M728/L728)</f>
        <v/>
      </c>
      <c r="P728" s="18" t="str">
        <f>IF(O728="","",(O728/(N728)*365))</f>
        <v/>
      </c>
      <c r="Q728" s="19"/>
    </row>
    <row r="729" spans="1:17" x14ac:dyDescent="0.15">
      <c r="A729" s="23"/>
      <c r="B729" s="3"/>
      <c r="C729" s="3"/>
      <c r="D729" s="3"/>
      <c r="E729" s="3"/>
      <c r="F729" s="23"/>
      <c r="G729" s="24"/>
      <c r="H729" s="1"/>
      <c r="I729" s="6"/>
      <c r="J729" s="6"/>
      <c r="K729" s="5"/>
      <c r="L729" s="24"/>
      <c r="M729" s="31" t="str">
        <f t="shared" si="11"/>
        <v/>
      </c>
      <c r="N729" s="7" t="str">
        <f t="shared" si="12"/>
        <v/>
      </c>
      <c r="O729" s="8" t="str">
        <f>IF(J729="","",M729/L729)</f>
        <v/>
      </c>
      <c r="P729" s="9" t="str">
        <f>IF(O729="","",(O729/(N729)*365))</f>
        <v/>
      </c>
      <c r="Q729" s="10"/>
    </row>
    <row r="730" spans="1:17" x14ac:dyDescent="0.15">
      <c r="A730" s="21"/>
      <c r="B730" s="20"/>
      <c r="C730" s="20"/>
      <c r="D730" s="20"/>
      <c r="E730" s="20"/>
      <c r="F730" s="21"/>
      <c r="G730" s="22"/>
      <c r="H730" s="11"/>
      <c r="I730" s="15"/>
      <c r="J730" s="15"/>
      <c r="K730" s="14"/>
      <c r="L730" s="22"/>
      <c r="M730" s="32" t="str">
        <f t="shared" si="11"/>
        <v/>
      </c>
      <c r="N730" s="16" t="str">
        <f t="shared" si="12"/>
        <v/>
      </c>
      <c r="O730" s="17" t="str">
        <f>IF(J730="","",M730/L730)</f>
        <v/>
      </c>
      <c r="P730" s="18" t="str">
        <f>IF(O730="","",(O730/(N730)*365))</f>
        <v/>
      </c>
      <c r="Q730" s="19"/>
    </row>
    <row r="731" spans="1:17" x14ac:dyDescent="0.15">
      <c r="A731" s="23"/>
      <c r="B731" s="3"/>
      <c r="C731" s="3"/>
      <c r="D731" s="3"/>
      <c r="E731" s="3"/>
      <c r="F731" s="23"/>
      <c r="G731" s="24"/>
      <c r="H731" s="1"/>
      <c r="I731" s="6"/>
      <c r="J731" s="6"/>
      <c r="K731" s="5"/>
      <c r="L731" s="24"/>
      <c r="M731" s="31" t="str">
        <f t="shared" si="11"/>
        <v/>
      </c>
      <c r="N731" s="7" t="str">
        <f t="shared" si="12"/>
        <v/>
      </c>
      <c r="O731" s="8" t="str">
        <f>IF(J731="","",M731/L731)</f>
        <v/>
      </c>
      <c r="P731" s="9" t="str">
        <f>IF(O731="","",(O731/(N731)*365))</f>
        <v/>
      </c>
      <c r="Q731" s="10"/>
    </row>
    <row r="732" spans="1:17" x14ac:dyDescent="0.15">
      <c r="A732" s="21"/>
      <c r="B732" s="20"/>
      <c r="C732" s="20"/>
      <c r="D732" s="20"/>
      <c r="E732" s="20"/>
      <c r="F732" s="21"/>
      <c r="G732" s="22"/>
      <c r="H732" s="11"/>
      <c r="I732" s="15"/>
      <c r="J732" s="15"/>
      <c r="K732" s="14"/>
      <c r="L732" s="22"/>
      <c r="M732" s="32" t="str">
        <f t="shared" si="11"/>
        <v/>
      </c>
      <c r="N732" s="16" t="str">
        <f t="shared" si="12"/>
        <v/>
      </c>
      <c r="O732" s="17" t="str">
        <f>IF(J732="","",M732/L732)</f>
        <v/>
      </c>
      <c r="P732" s="18" t="str">
        <f>IF(O732="","",(O732/(N732)*365))</f>
        <v/>
      </c>
      <c r="Q732" s="19"/>
    </row>
    <row r="733" spans="1:17" x14ac:dyDescent="0.15">
      <c r="A733" s="23"/>
      <c r="B733" s="3"/>
      <c r="C733" s="3"/>
      <c r="D733" s="3"/>
      <c r="E733" s="3"/>
      <c r="F733" s="23"/>
      <c r="G733" s="24"/>
      <c r="H733" s="1"/>
      <c r="I733" s="6"/>
      <c r="J733" s="6"/>
      <c r="K733" s="5"/>
      <c r="L733" s="24"/>
      <c r="M733" s="31" t="str">
        <f t="shared" si="11"/>
        <v/>
      </c>
      <c r="N733" s="7" t="str">
        <f t="shared" si="12"/>
        <v/>
      </c>
      <c r="O733" s="8" t="str">
        <f>IF(J733="","",M733/L733)</f>
        <v/>
      </c>
      <c r="P733" s="9" t="str">
        <f>IF(O733="","",(O733/(N733)*365))</f>
        <v/>
      </c>
      <c r="Q733" s="10"/>
    </row>
    <row r="734" spans="1:17" x14ac:dyDescent="0.15">
      <c r="A734" s="21"/>
      <c r="B734" s="20"/>
      <c r="C734" s="20"/>
      <c r="D734" s="20"/>
      <c r="E734" s="20"/>
      <c r="F734" s="21"/>
      <c r="G734" s="22"/>
      <c r="H734" s="11"/>
      <c r="I734" s="15"/>
      <c r="J734" s="15"/>
      <c r="K734" s="14"/>
      <c r="L734" s="22"/>
      <c r="M734" s="32" t="str">
        <f t="shared" si="11"/>
        <v/>
      </c>
      <c r="N734" s="16" t="str">
        <f t="shared" si="12"/>
        <v/>
      </c>
      <c r="O734" s="17" t="str">
        <f>IF(J734="","",M734/L734)</f>
        <v/>
      </c>
      <c r="P734" s="18" t="str">
        <f>IF(O734="","",(O734/(N734)*365))</f>
        <v/>
      </c>
      <c r="Q734" s="19"/>
    </row>
    <row r="735" spans="1:17" x14ac:dyDescent="0.15">
      <c r="A735" s="23"/>
      <c r="B735" s="3"/>
      <c r="C735" s="3"/>
      <c r="D735" s="3"/>
      <c r="E735" s="3"/>
      <c r="F735" s="23"/>
      <c r="G735" s="24"/>
      <c r="H735" s="1"/>
      <c r="I735" s="6"/>
      <c r="J735" s="6"/>
      <c r="K735" s="5"/>
      <c r="L735" s="24"/>
      <c r="M735" s="31" t="str">
        <f t="shared" si="11"/>
        <v/>
      </c>
      <c r="N735" s="7" t="str">
        <f t="shared" si="12"/>
        <v/>
      </c>
      <c r="O735" s="8" t="str">
        <f>IF(J735="","",M735/L735)</f>
        <v/>
      </c>
      <c r="P735" s="9" t="str">
        <f>IF(O735="","",(O735/(N735)*365))</f>
        <v/>
      </c>
      <c r="Q735" s="10"/>
    </row>
    <row r="736" spans="1:17" x14ac:dyDescent="0.15">
      <c r="A736" s="21"/>
      <c r="B736" s="20"/>
      <c r="C736" s="20"/>
      <c r="D736" s="20"/>
      <c r="E736" s="20"/>
      <c r="F736" s="21"/>
      <c r="G736" s="22"/>
      <c r="H736" s="11"/>
      <c r="I736" s="15"/>
      <c r="J736" s="15"/>
      <c r="K736" s="14"/>
      <c r="L736" s="22"/>
      <c r="M736" s="32" t="str">
        <f t="shared" si="11"/>
        <v/>
      </c>
      <c r="N736" s="16" t="str">
        <f t="shared" si="12"/>
        <v/>
      </c>
      <c r="O736" s="17" t="str">
        <f>IF(J736="","",M736/L736)</f>
        <v/>
      </c>
      <c r="P736" s="18" t="str">
        <f>IF(O736="","",(O736/(N736)*365))</f>
        <v/>
      </c>
      <c r="Q736" s="19"/>
    </row>
    <row r="737" spans="1:17" x14ac:dyDescent="0.15">
      <c r="A737" s="23"/>
      <c r="B737" s="3"/>
      <c r="C737" s="3"/>
      <c r="D737" s="3"/>
      <c r="E737" s="3"/>
      <c r="F737" s="23"/>
      <c r="G737" s="24"/>
      <c r="H737" s="1"/>
      <c r="I737" s="6"/>
      <c r="J737" s="6"/>
      <c r="K737" s="5"/>
      <c r="L737" s="24"/>
      <c r="M737" s="31" t="str">
        <f t="shared" si="11"/>
        <v/>
      </c>
      <c r="N737" s="7" t="str">
        <f t="shared" si="12"/>
        <v/>
      </c>
      <c r="O737" s="8" t="str">
        <f>IF(J737="","",M737/L737)</f>
        <v/>
      </c>
      <c r="P737" s="9" t="str">
        <f>IF(O737="","",(O737/(N737)*365))</f>
        <v/>
      </c>
      <c r="Q737" s="10"/>
    </row>
    <row r="738" spans="1:17" x14ac:dyDescent="0.15">
      <c r="A738" s="21"/>
      <c r="B738" s="20"/>
      <c r="C738" s="20"/>
      <c r="D738" s="20"/>
      <c r="E738" s="20"/>
      <c r="F738" s="21"/>
      <c r="G738" s="22"/>
      <c r="H738" s="11"/>
      <c r="I738" s="15"/>
      <c r="J738" s="15"/>
      <c r="K738" s="14"/>
      <c r="L738" s="22"/>
      <c r="M738" s="32" t="str">
        <f t="shared" si="11"/>
        <v/>
      </c>
      <c r="N738" s="16" t="str">
        <f t="shared" si="12"/>
        <v/>
      </c>
      <c r="O738" s="17" t="str">
        <f>IF(J738="","",M738/L738)</f>
        <v/>
      </c>
      <c r="P738" s="18" t="str">
        <f>IF(O738="","",(O738/(N738)*365))</f>
        <v/>
      </c>
      <c r="Q738" s="19"/>
    </row>
    <row r="739" spans="1:17" x14ac:dyDescent="0.15">
      <c r="A739" s="23"/>
      <c r="B739" s="3"/>
      <c r="C739" s="3"/>
      <c r="D739" s="3"/>
      <c r="E739" s="3"/>
      <c r="F739" s="23"/>
      <c r="G739" s="24"/>
      <c r="H739" s="1"/>
      <c r="I739" s="6"/>
      <c r="J739" s="6"/>
      <c r="K739" s="5"/>
      <c r="L739" s="24"/>
      <c r="M739" s="31" t="str">
        <f t="shared" si="11"/>
        <v/>
      </c>
      <c r="N739" s="7" t="str">
        <f t="shared" si="12"/>
        <v/>
      </c>
      <c r="O739" s="8" t="str">
        <f>IF(J739="","",M739/L739)</f>
        <v/>
      </c>
      <c r="P739" s="9" t="str">
        <f>IF(O739="","",(O739/(N739)*365))</f>
        <v/>
      </c>
      <c r="Q739" s="10"/>
    </row>
    <row r="740" spans="1:17" x14ac:dyDescent="0.15">
      <c r="A740" s="21"/>
      <c r="B740" s="20"/>
      <c r="C740" s="20"/>
      <c r="D740" s="20"/>
      <c r="E740" s="20"/>
      <c r="F740" s="21"/>
      <c r="G740" s="22"/>
      <c r="H740" s="11"/>
      <c r="I740" s="15"/>
      <c r="J740" s="15"/>
      <c r="K740" s="14"/>
      <c r="L740" s="22"/>
      <c r="M740" s="32" t="str">
        <f t="shared" si="11"/>
        <v/>
      </c>
      <c r="N740" s="16" t="str">
        <f t="shared" si="12"/>
        <v/>
      </c>
      <c r="O740" s="17" t="str">
        <f>IF(J740="","",M740/L740)</f>
        <v/>
      </c>
      <c r="P740" s="18" t="str">
        <f>IF(O740="","",(O740/(N740)*365))</f>
        <v/>
      </c>
      <c r="Q740" s="19"/>
    </row>
    <row r="741" spans="1:17" x14ac:dyDescent="0.15">
      <c r="A741" s="23"/>
      <c r="B741" s="3"/>
      <c r="C741" s="3"/>
      <c r="D741" s="3"/>
      <c r="E741" s="3"/>
      <c r="F741" s="23"/>
      <c r="G741" s="24"/>
      <c r="H741" s="1"/>
      <c r="I741" s="6"/>
      <c r="J741" s="6"/>
      <c r="K741" s="5"/>
      <c r="L741" s="24"/>
      <c r="M741" s="31" t="str">
        <f t="shared" si="11"/>
        <v/>
      </c>
      <c r="N741" s="7" t="str">
        <f t="shared" si="12"/>
        <v/>
      </c>
      <c r="O741" s="8" t="str">
        <f>IF(J741="","",M741/L741)</f>
        <v/>
      </c>
      <c r="P741" s="9" t="str">
        <f>IF(O741="","",(O741/(N741)*365))</f>
        <v/>
      </c>
      <c r="Q741" s="10"/>
    </row>
    <row r="742" spans="1:17" x14ac:dyDescent="0.15">
      <c r="A742" s="21"/>
      <c r="B742" s="20"/>
      <c r="C742" s="20"/>
      <c r="D742" s="20"/>
      <c r="E742" s="20"/>
      <c r="F742" s="21"/>
      <c r="G742" s="22"/>
      <c r="H742" s="11"/>
      <c r="I742" s="15"/>
      <c r="J742" s="15"/>
      <c r="K742" s="14"/>
      <c r="L742" s="22"/>
      <c r="M742" s="32" t="str">
        <f t="shared" si="11"/>
        <v/>
      </c>
      <c r="N742" s="16" t="str">
        <f t="shared" si="12"/>
        <v/>
      </c>
      <c r="O742" s="17" t="str">
        <f>IF(J742="","",M742/L742)</f>
        <v/>
      </c>
      <c r="P742" s="18" t="str">
        <f>IF(O742="","",(O742/(N742)*365))</f>
        <v/>
      </c>
      <c r="Q742" s="19"/>
    </row>
    <row r="743" spans="1:17" x14ac:dyDescent="0.15">
      <c r="A743" s="23"/>
      <c r="B743" s="3"/>
      <c r="C743" s="3"/>
      <c r="D743" s="3"/>
      <c r="E743" s="3"/>
      <c r="F743" s="23"/>
      <c r="G743" s="24"/>
      <c r="H743" s="1"/>
      <c r="I743" s="6"/>
      <c r="J743" s="6"/>
      <c r="K743" s="5"/>
      <c r="L743" s="24"/>
      <c r="M743" s="31" t="str">
        <f t="shared" si="11"/>
        <v/>
      </c>
      <c r="N743" s="7" t="str">
        <f t="shared" si="12"/>
        <v/>
      </c>
      <c r="O743" s="8" t="str">
        <f>IF(J743="","",M743/L743)</f>
        <v/>
      </c>
      <c r="P743" s="9" t="str">
        <f>IF(O743="","",(O743/(N743)*365))</f>
        <v/>
      </c>
      <c r="Q743" s="10"/>
    </row>
    <row r="744" spans="1:17" x14ac:dyDescent="0.15">
      <c r="A744" s="21"/>
      <c r="B744" s="20"/>
      <c r="C744" s="20"/>
      <c r="D744" s="20"/>
      <c r="E744" s="20"/>
      <c r="F744" s="21"/>
      <c r="G744" s="22"/>
      <c r="H744" s="11"/>
      <c r="I744" s="15"/>
      <c r="J744" s="15"/>
      <c r="K744" s="14"/>
      <c r="L744" s="22"/>
      <c r="M744" s="32" t="str">
        <f t="shared" si="11"/>
        <v/>
      </c>
      <c r="N744" s="16" t="str">
        <f t="shared" si="12"/>
        <v/>
      </c>
      <c r="O744" s="17" t="str">
        <f>IF(J744="","",M744/L744)</f>
        <v/>
      </c>
      <c r="P744" s="18" t="str">
        <f>IF(O744="","",(O744/(N744)*365))</f>
        <v/>
      </c>
      <c r="Q744" s="19"/>
    </row>
    <row r="745" spans="1:17" x14ac:dyDescent="0.15">
      <c r="A745" s="23"/>
      <c r="B745" s="3"/>
      <c r="C745" s="3"/>
      <c r="D745" s="3"/>
      <c r="E745" s="3"/>
      <c r="F745" s="23"/>
      <c r="G745" s="24"/>
      <c r="H745" s="1"/>
      <c r="I745" s="6"/>
      <c r="J745" s="6"/>
      <c r="K745" s="5"/>
      <c r="L745" s="24"/>
      <c r="M745" s="31" t="str">
        <f t="shared" si="11"/>
        <v/>
      </c>
      <c r="N745" s="7" t="str">
        <f t="shared" si="12"/>
        <v/>
      </c>
      <c r="O745" s="8" t="str">
        <f>IF(J745="","",M745/L745)</f>
        <v/>
      </c>
      <c r="P745" s="9" t="str">
        <f>IF(O745="","",(O745/(N745)*365))</f>
        <v/>
      </c>
      <c r="Q745" s="10"/>
    </row>
    <row r="746" spans="1:17" x14ac:dyDescent="0.15">
      <c r="A746" s="21"/>
      <c r="B746" s="20"/>
      <c r="C746" s="20"/>
      <c r="D746" s="20"/>
      <c r="E746" s="20"/>
      <c r="F746" s="21"/>
      <c r="G746" s="22"/>
      <c r="H746" s="11"/>
      <c r="I746" s="15"/>
      <c r="J746" s="15"/>
      <c r="K746" s="14"/>
      <c r="L746" s="22"/>
      <c r="M746" s="32" t="str">
        <f t="shared" si="11"/>
        <v/>
      </c>
      <c r="N746" s="16" t="str">
        <f t="shared" si="12"/>
        <v/>
      </c>
      <c r="O746" s="17" t="str">
        <f>IF(J746="","",M746/L746)</f>
        <v/>
      </c>
      <c r="P746" s="18" t="str">
        <f>IF(O746="","",(O746/(N746)*365))</f>
        <v/>
      </c>
      <c r="Q746" s="19"/>
    </row>
    <row r="747" spans="1:17" x14ac:dyDescent="0.15">
      <c r="A747" s="23"/>
      <c r="B747" s="3"/>
      <c r="C747" s="3"/>
      <c r="D747" s="3"/>
      <c r="E747" s="3"/>
      <c r="F747" s="23"/>
      <c r="G747" s="24"/>
      <c r="H747" s="1"/>
      <c r="I747" s="6"/>
      <c r="J747" s="6"/>
      <c r="K747" s="5"/>
      <c r="L747" s="24"/>
      <c r="M747" s="31" t="str">
        <f t="shared" si="11"/>
        <v/>
      </c>
      <c r="N747" s="7" t="str">
        <f t="shared" si="12"/>
        <v/>
      </c>
      <c r="O747" s="8" t="str">
        <f>IF(J747="","",M747/L747)</f>
        <v/>
      </c>
      <c r="P747" s="9" t="str">
        <f>IF(O747="","",(O747/(N747)*365))</f>
        <v/>
      </c>
      <c r="Q747" s="10"/>
    </row>
    <row r="748" spans="1:17" x14ac:dyDescent="0.15">
      <c r="A748" s="21"/>
      <c r="B748" s="20"/>
      <c r="C748" s="20"/>
      <c r="D748" s="20"/>
      <c r="E748" s="20"/>
      <c r="F748" s="21"/>
      <c r="G748" s="22"/>
      <c r="H748" s="11"/>
      <c r="I748" s="15"/>
      <c r="J748" s="15"/>
      <c r="K748" s="14"/>
      <c r="L748" s="22"/>
      <c r="M748" s="32" t="str">
        <f t="shared" si="11"/>
        <v/>
      </c>
      <c r="N748" s="16" t="str">
        <f t="shared" si="12"/>
        <v/>
      </c>
      <c r="O748" s="17" t="str">
        <f>IF(J748="","",M748/L748)</f>
        <v/>
      </c>
      <c r="P748" s="18" t="str">
        <f>IF(O748="","",(O748/(N748)*365))</f>
        <v/>
      </c>
      <c r="Q748" s="19"/>
    </row>
    <row r="749" spans="1:17" x14ac:dyDescent="0.15">
      <c r="A749" s="23"/>
      <c r="B749" s="3"/>
      <c r="C749" s="3"/>
      <c r="D749" s="3"/>
      <c r="E749" s="3"/>
      <c r="F749" s="23"/>
      <c r="G749" s="24"/>
      <c r="H749" s="1"/>
      <c r="I749" s="6"/>
      <c r="J749" s="6"/>
      <c r="K749" s="5"/>
      <c r="L749" s="24"/>
      <c r="M749" s="31" t="str">
        <f t="shared" si="11"/>
        <v/>
      </c>
      <c r="N749" s="7" t="str">
        <f t="shared" si="12"/>
        <v/>
      </c>
      <c r="O749" s="8" t="str">
        <f>IF(J749="","",M749/L749)</f>
        <v/>
      </c>
      <c r="P749" s="9" t="str">
        <f>IF(O749="","",(O749/(N749)*365))</f>
        <v/>
      </c>
      <c r="Q749" s="10"/>
    </row>
    <row r="750" spans="1:17" x14ac:dyDescent="0.15">
      <c r="A750" s="21"/>
      <c r="B750" s="20"/>
      <c r="C750" s="20"/>
      <c r="D750" s="20"/>
      <c r="E750" s="20"/>
      <c r="F750" s="21"/>
      <c r="G750" s="22"/>
      <c r="H750" s="11"/>
      <c r="I750" s="15"/>
      <c r="J750" s="15"/>
      <c r="K750" s="14"/>
      <c r="L750" s="22"/>
      <c r="M750" s="32" t="str">
        <f t="shared" si="11"/>
        <v/>
      </c>
      <c r="N750" s="16" t="str">
        <f t="shared" si="12"/>
        <v/>
      </c>
      <c r="O750" s="17" t="str">
        <f>IF(J750="","",M750/L750)</f>
        <v/>
      </c>
      <c r="P750" s="18" t="str">
        <f>IF(O750="","",(O750/(N750)*365))</f>
        <v/>
      </c>
      <c r="Q750" s="19"/>
    </row>
    <row r="751" spans="1:17" x14ac:dyDescent="0.15">
      <c r="A751" s="23"/>
      <c r="B751" s="3"/>
      <c r="C751" s="3"/>
      <c r="D751" s="3"/>
      <c r="E751" s="3"/>
      <c r="F751" s="23"/>
      <c r="G751" s="24"/>
      <c r="H751" s="1"/>
      <c r="I751" s="6"/>
      <c r="J751" s="6"/>
      <c r="K751" s="5"/>
      <c r="L751" s="24"/>
      <c r="M751" s="31" t="str">
        <f t="shared" si="11"/>
        <v/>
      </c>
      <c r="N751" s="7" t="str">
        <f t="shared" si="12"/>
        <v/>
      </c>
      <c r="O751" s="8" t="str">
        <f>IF(J751="","",M751/L751)</f>
        <v/>
      </c>
      <c r="P751" s="9" t="str">
        <f>IF(O751="","",(O751/(N751)*365))</f>
        <v/>
      </c>
      <c r="Q751" s="10"/>
    </row>
    <row r="752" spans="1:17" x14ac:dyDescent="0.15">
      <c r="A752" s="21"/>
      <c r="B752" s="20"/>
      <c r="C752" s="20"/>
      <c r="D752" s="20"/>
      <c r="E752" s="20"/>
      <c r="F752" s="21"/>
      <c r="G752" s="22"/>
      <c r="H752" s="11"/>
      <c r="I752" s="15"/>
      <c r="J752" s="15"/>
      <c r="K752" s="14"/>
      <c r="L752" s="22"/>
      <c r="M752" s="32" t="str">
        <f t="shared" si="11"/>
        <v/>
      </c>
      <c r="N752" s="16" t="str">
        <f t="shared" si="12"/>
        <v/>
      </c>
      <c r="O752" s="17" t="str">
        <f>IF(J752="","",M752/L752)</f>
        <v/>
      </c>
      <c r="P752" s="18" t="str">
        <f>IF(O752="","",(O752/(N752)*365))</f>
        <v/>
      </c>
      <c r="Q752" s="19"/>
    </row>
    <row r="753" spans="1:17" x14ac:dyDescent="0.15">
      <c r="A753" s="23"/>
      <c r="B753" s="3"/>
      <c r="C753" s="3"/>
      <c r="D753" s="3"/>
      <c r="E753" s="3"/>
      <c r="F753" s="23"/>
      <c r="G753" s="24"/>
      <c r="H753" s="1"/>
      <c r="I753" s="6"/>
      <c r="J753" s="6"/>
      <c r="K753" s="5"/>
      <c r="L753" s="24"/>
      <c r="M753" s="31" t="str">
        <f t="shared" si="11"/>
        <v/>
      </c>
      <c r="N753" s="7" t="str">
        <f t="shared" si="12"/>
        <v/>
      </c>
      <c r="O753" s="8" t="str">
        <f>IF(J753="","",M753/L753)</f>
        <v/>
      </c>
      <c r="P753" s="9" t="str">
        <f>IF(O753="","",(O753/(N753)*365))</f>
        <v/>
      </c>
      <c r="Q753" s="10"/>
    </row>
    <row r="754" spans="1:17" x14ac:dyDescent="0.15">
      <c r="A754" s="21"/>
      <c r="B754" s="20"/>
      <c r="C754" s="20"/>
      <c r="D754" s="20"/>
      <c r="E754" s="20"/>
      <c r="F754" s="21"/>
      <c r="G754" s="22"/>
      <c r="H754" s="11"/>
      <c r="I754" s="15"/>
      <c r="J754" s="15"/>
      <c r="K754" s="14"/>
      <c r="L754" s="22"/>
      <c r="M754" s="32" t="str">
        <f t="shared" si="11"/>
        <v/>
      </c>
      <c r="N754" s="16" t="str">
        <f t="shared" si="12"/>
        <v/>
      </c>
      <c r="O754" s="17" t="str">
        <f>IF(J754="","",M754/L754)</f>
        <v/>
      </c>
      <c r="P754" s="18" t="str">
        <f>IF(O754="","",(O754/(N754)*365))</f>
        <v/>
      </c>
      <c r="Q754" s="19"/>
    </row>
    <row r="755" spans="1:17" x14ac:dyDescent="0.15">
      <c r="A755" s="23"/>
      <c r="B755" s="3"/>
      <c r="C755" s="3"/>
      <c r="D755" s="3"/>
      <c r="E755" s="3"/>
      <c r="F755" s="23"/>
      <c r="G755" s="24"/>
      <c r="H755" s="1"/>
      <c r="I755" s="6"/>
      <c r="J755" s="6"/>
      <c r="K755" s="5"/>
      <c r="L755" s="24"/>
      <c r="M755" s="31" t="str">
        <f t="shared" si="11"/>
        <v/>
      </c>
      <c r="N755" s="7" t="str">
        <f t="shared" si="12"/>
        <v/>
      </c>
      <c r="O755" s="8" t="str">
        <f>IF(J755="","",M755/L755)</f>
        <v/>
      </c>
      <c r="P755" s="9" t="str">
        <f>IF(O755="","",(O755/(N755)*365))</f>
        <v/>
      </c>
      <c r="Q755" s="10"/>
    </row>
    <row r="756" spans="1:17" x14ac:dyDescent="0.15">
      <c r="A756" s="21"/>
      <c r="B756" s="20"/>
      <c r="C756" s="20"/>
      <c r="D756" s="20"/>
      <c r="E756" s="20"/>
      <c r="F756" s="21"/>
      <c r="G756" s="22"/>
      <c r="H756" s="11"/>
      <c r="I756" s="15"/>
      <c r="J756" s="15"/>
      <c r="K756" s="14"/>
      <c r="L756" s="22"/>
      <c r="M756" s="32" t="str">
        <f t="shared" si="11"/>
        <v/>
      </c>
      <c r="N756" s="16" t="str">
        <f t="shared" si="12"/>
        <v/>
      </c>
      <c r="O756" s="17" t="str">
        <f>IF(J756="","",M756/L756)</f>
        <v/>
      </c>
      <c r="P756" s="18" t="str">
        <f>IF(O756="","",(O756/(N756)*365))</f>
        <v/>
      </c>
      <c r="Q756" s="19"/>
    </row>
    <row r="757" spans="1:17" x14ac:dyDescent="0.15">
      <c r="A757" s="23"/>
      <c r="B757" s="3"/>
      <c r="C757" s="3"/>
      <c r="D757" s="3"/>
      <c r="E757" s="3"/>
      <c r="F757" s="23"/>
      <c r="G757" s="24"/>
      <c r="H757" s="1"/>
      <c r="I757" s="6"/>
      <c r="J757" s="6"/>
      <c r="K757" s="5"/>
      <c r="L757" s="24"/>
      <c r="M757" s="31" t="str">
        <f t="shared" si="11"/>
        <v/>
      </c>
      <c r="N757" s="7" t="str">
        <f t="shared" si="12"/>
        <v/>
      </c>
      <c r="O757" s="8" t="str">
        <f>IF(J757="","",M757/L757)</f>
        <v/>
      </c>
      <c r="P757" s="9" t="str">
        <f>IF(O757="","",(O757/(N757)*365))</f>
        <v/>
      </c>
      <c r="Q757" s="10"/>
    </row>
    <row r="758" spans="1:17" x14ac:dyDescent="0.15">
      <c r="A758" s="21"/>
      <c r="B758" s="20"/>
      <c r="C758" s="20"/>
      <c r="D758" s="20"/>
      <c r="E758" s="20"/>
      <c r="F758" s="21"/>
      <c r="G758" s="22"/>
      <c r="H758" s="11"/>
      <c r="I758" s="15"/>
      <c r="J758" s="15"/>
      <c r="K758" s="14"/>
      <c r="L758" s="22"/>
      <c r="M758" s="32" t="str">
        <f t="shared" si="11"/>
        <v/>
      </c>
      <c r="N758" s="16" t="str">
        <f t="shared" si="12"/>
        <v/>
      </c>
      <c r="O758" s="17" t="str">
        <f>IF(J758="","",M758/L758)</f>
        <v/>
      </c>
      <c r="P758" s="18" t="str">
        <f>IF(O758="","",(O758/(N758)*365))</f>
        <v/>
      </c>
      <c r="Q758" s="19"/>
    </row>
    <row r="759" spans="1:17" x14ac:dyDescent="0.15">
      <c r="A759" s="23"/>
      <c r="B759" s="3"/>
      <c r="C759" s="3"/>
      <c r="D759" s="3"/>
      <c r="E759" s="3"/>
      <c r="F759" s="23"/>
      <c r="G759" s="24"/>
      <c r="H759" s="1"/>
      <c r="I759" s="6"/>
      <c r="J759" s="6"/>
      <c r="K759" s="5"/>
      <c r="L759" s="24"/>
      <c r="M759" s="31" t="str">
        <f t="shared" si="11"/>
        <v/>
      </c>
      <c r="N759" s="7" t="str">
        <f t="shared" si="12"/>
        <v/>
      </c>
      <c r="O759" s="8" t="str">
        <f>IF(J759="","",M759/L759)</f>
        <v/>
      </c>
      <c r="P759" s="9" t="str">
        <f>IF(O759="","",(O759/(N759)*365))</f>
        <v/>
      </c>
      <c r="Q759" s="10"/>
    </row>
    <row r="760" spans="1:17" x14ac:dyDescent="0.15">
      <c r="A760" s="21"/>
      <c r="B760" s="20"/>
      <c r="C760" s="20"/>
      <c r="D760" s="20"/>
      <c r="E760" s="20"/>
      <c r="F760" s="21"/>
      <c r="G760" s="22"/>
      <c r="H760" s="11"/>
      <c r="I760" s="15"/>
      <c r="J760" s="15"/>
      <c r="K760" s="14"/>
      <c r="L760" s="22"/>
      <c r="M760" s="32" t="str">
        <f t="shared" si="11"/>
        <v/>
      </c>
      <c r="N760" s="16" t="str">
        <f t="shared" si="12"/>
        <v/>
      </c>
      <c r="O760" s="17" t="str">
        <f>IF(J760="","",M760/L760)</f>
        <v/>
      </c>
      <c r="P760" s="18" t="str">
        <f>IF(O760="","",(O760/(N760)*365))</f>
        <v/>
      </c>
      <c r="Q760" s="19"/>
    </row>
    <row r="761" spans="1:17" x14ac:dyDescent="0.15">
      <c r="A761" s="23"/>
      <c r="B761" s="3"/>
      <c r="C761" s="3"/>
      <c r="D761" s="3"/>
      <c r="E761" s="3"/>
      <c r="F761" s="23"/>
      <c r="G761" s="24"/>
      <c r="H761" s="1"/>
      <c r="I761" s="6"/>
      <c r="J761" s="6"/>
      <c r="K761" s="5"/>
      <c r="L761" s="24"/>
      <c r="M761" s="31" t="str">
        <f t="shared" si="11"/>
        <v/>
      </c>
      <c r="N761" s="7" t="str">
        <f t="shared" si="12"/>
        <v/>
      </c>
      <c r="O761" s="8" t="str">
        <f>IF(J761="","",M761/L761)</f>
        <v/>
      </c>
      <c r="P761" s="9" t="str">
        <f>IF(O761="","",(O761/(N761)*365))</f>
        <v/>
      </c>
      <c r="Q761" s="10"/>
    </row>
    <row r="762" spans="1:17" x14ac:dyDescent="0.15">
      <c r="A762" s="21"/>
      <c r="B762" s="20"/>
      <c r="C762" s="20"/>
      <c r="D762" s="20"/>
      <c r="E762" s="20"/>
      <c r="F762" s="21"/>
      <c r="G762" s="22"/>
      <c r="H762" s="11"/>
      <c r="I762" s="15"/>
      <c r="J762" s="15"/>
      <c r="K762" s="14"/>
      <c r="L762" s="22"/>
      <c r="M762" s="32" t="str">
        <f t="shared" si="11"/>
        <v/>
      </c>
      <c r="N762" s="16" t="str">
        <f t="shared" si="12"/>
        <v/>
      </c>
      <c r="O762" s="17" t="str">
        <f>IF(J762="","",M762/L762)</f>
        <v/>
      </c>
      <c r="P762" s="18" t="str">
        <f>IF(O762="","",(O762/(N762)*365))</f>
        <v/>
      </c>
      <c r="Q762" s="19"/>
    </row>
    <row r="763" spans="1:17" x14ac:dyDescent="0.15">
      <c r="A763" s="23"/>
      <c r="B763" s="3"/>
      <c r="C763" s="3"/>
      <c r="D763" s="3"/>
      <c r="E763" s="3"/>
      <c r="F763" s="23"/>
      <c r="G763" s="24"/>
      <c r="H763" s="1"/>
      <c r="I763" s="6"/>
      <c r="J763" s="6"/>
      <c r="K763" s="5"/>
      <c r="L763" s="24"/>
      <c r="M763" s="31" t="str">
        <f t="shared" si="11"/>
        <v/>
      </c>
      <c r="N763" s="7" t="str">
        <f t="shared" si="12"/>
        <v/>
      </c>
      <c r="O763" s="8" t="str">
        <f>IF(J763="","",M763/L763)</f>
        <v/>
      </c>
      <c r="P763" s="9" t="str">
        <f>IF(O763="","",(O763/(N763)*365))</f>
        <v/>
      </c>
      <c r="Q763" s="10"/>
    </row>
    <row r="764" spans="1:17" x14ac:dyDescent="0.15">
      <c r="A764" s="21"/>
      <c r="B764" s="20"/>
      <c r="C764" s="20"/>
      <c r="D764" s="20"/>
      <c r="E764" s="20"/>
      <c r="F764" s="21"/>
      <c r="G764" s="22"/>
      <c r="H764" s="11"/>
      <c r="I764" s="15"/>
      <c r="J764" s="15"/>
      <c r="K764" s="14"/>
      <c r="L764" s="22"/>
      <c r="M764" s="32" t="str">
        <f t="shared" si="11"/>
        <v/>
      </c>
      <c r="N764" s="16" t="str">
        <f t="shared" si="12"/>
        <v/>
      </c>
      <c r="O764" s="17" t="str">
        <f>IF(J764="","",M764/L764)</f>
        <v/>
      </c>
      <c r="P764" s="18" t="str">
        <f>IF(O764="","",(O764/(N764)*365))</f>
        <v/>
      </c>
      <c r="Q764" s="19"/>
    </row>
    <row r="765" spans="1:17" x14ac:dyDescent="0.15">
      <c r="A765" s="23"/>
      <c r="B765" s="3"/>
      <c r="C765" s="3"/>
      <c r="D765" s="3"/>
      <c r="E765" s="3"/>
      <c r="F765" s="23"/>
      <c r="G765" s="24"/>
      <c r="H765" s="1"/>
      <c r="I765" s="6"/>
      <c r="J765" s="6"/>
      <c r="K765" s="5"/>
      <c r="L765" s="24"/>
      <c r="M765" s="31" t="str">
        <f t="shared" si="11"/>
        <v/>
      </c>
      <c r="N765" s="7" t="str">
        <f t="shared" si="12"/>
        <v/>
      </c>
      <c r="O765" s="8" t="str">
        <f>IF(J765="","",M765/L765)</f>
        <v/>
      </c>
      <c r="P765" s="9" t="str">
        <f>IF(O765="","",(O765/(N765)*365))</f>
        <v/>
      </c>
      <c r="Q765" s="10"/>
    </row>
    <row r="766" spans="1:17" x14ac:dyDescent="0.15">
      <c r="A766" s="21"/>
      <c r="B766" s="20"/>
      <c r="C766" s="20"/>
      <c r="D766" s="20"/>
      <c r="E766" s="20"/>
      <c r="F766" s="21"/>
      <c r="G766" s="22"/>
      <c r="H766" s="11"/>
      <c r="I766" s="15"/>
      <c r="J766" s="15"/>
      <c r="K766" s="14"/>
      <c r="L766" s="22"/>
      <c r="M766" s="32" t="str">
        <f t="shared" si="11"/>
        <v/>
      </c>
      <c r="N766" s="16" t="str">
        <f t="shared" si="12"/>
        <v/>
      </c>
      <c r="O766" s="17" t="str">
        <f>IF(J766="","",M766/L766)</f>
        <v/>
      </c>
      <c r="P766" s="18" t="str">
        <f>IF(O766="","",(O766/(N766)*365))</f>
        <v/>
      </c>
      <c r="Q766" s="19"/>
    </row>
    <row r="767" spans="1:17" x14ac:dyDescent="0.15">
      <c r="A767" s="23"/>
      <c r="B767" s="3"/>
      <c r="C767" s="3"/>
      <c r="D767" s="3"/>
      <c r="E767" s="3"/>
      <c r="F767" s="23"/>
      <c r="G767" s="24"/>
      <c r="H767" s="1"/>
      <c r="I767" s="6"/>
      <c r="J767" s="6"/>
      <c r="K767" s="5"/>
      <c r="L767" s="24"/>
      <c r="M767" s="31" t="str">
        <f t="shared" si="11"/>
        <v/>
      </c>
      <c r="N767" s="7" t="str">
        <f t="shared" si="12"/>
        <v/>
      </c>
      <c r="O767" s="8" t="str">
        <f>IF(J767="","",M767/L767)</f>
        <v/>
      </c>
      <c r="P767" s="9" t="str">
        <f>IF(O767="","",(O767/(N767)*365))</f>
        <v/>
      </c>
      <c r="Q767" s="10"/>
    </row>
    <row r="768" spans="1:17" x14ac:dyDescent="0.15">
      <c r="A768" s="21"/>
      <c r="B768" s="20"/>
      <c r="C768" s="20"/>
      <c r="D768" s="20"/>
      <c r="E768" s="20"/>
      <c r="F768" s="21"/>
      <c r="G768" s="22"/>
      <c r="H768" s="11"/>
      <c r="I768" s="15"/>
      <c r="J768" s="15"/>
      <c r="K768" s="14"/>
      <c r="L768" s="22"/>
      <c r="M768" s="32" t="str">
        <f t="shared" si="11"/>
        <v/>
      </c>
      <c r="N768" s="16" t="str">
        <f t="shared" si="12"/>
        <v/>
      </c>
      <c r="O768" s="17" t="str">
        <f>IF(J768="","",M768/L768)</f>
        <v/>
      </c>
      <c r="P768" s="18" t="str">
        <f>IF(O768="","",(O768/(N768)*365))</f>
        <v/>
      </c>
      <c r="Q768" s="19"/>
    </row>
    <row r="769" spans="1:17" x14ac:dyDescent="0.15">
      <c r="A769" s="23"/>
      <c r="B769" s="3"/>
      <c r="C769" s="3"/>
      <c r="D769" s="3"/>
      <c r="E769" s="3"/>
      <c r="F769" s="23"/>
      <c r="G769" s="24"/>
      <c r="H769" s="1"/>
      <c r="I769" s="6"/>
      <c r="J769" s="6"/>
      <c r="K769" s="5"/>
      <c r="L769" s="24"/>
      <c r="M769" s="31" t="str">
        <f t="shared" si="11"/>
        <v/>
      </c>
      <c r="N769" s="7" t="str">
        <f t="shared" si="12"/>
        <v/>
      </c>
      <c r="O769" s="8" t="str">
        <f>IF(J769="","",M769/L769)</f>
        <v/>
      </c>
      <c r="P769" s="9" t="str">
        <f>IF(O769="","",(O769/(N769)*365))</f>
        <v/>
      </c>
      <c r="Q769" s="10"/>
    </row>
    <row r="770" spans="1:17" x14ac:dyDescent="0.15">
      <c r="A770" s="21"/>
      <c r="B770" s="20"/>
      <c r="C770" s="20"/>
      <c r="D770" s="20"/>
      <c r="E770" s="20"/>
      <c r="F770" s="21"/>
      <c r="G770" s="22"/>
      <c r="H770" s="11"/>
      <c r="I770" s="15"/>
      <c r="J770" s="15"/>
      <c r="K770" s="14"/>
      <c r="L770" s="22"/>
      <c r="M770" s="32" t="str">
        <f t="shared" ref="M770:M1024" si="13">IF(J770="","",IF(A770="SELL",(I770-J770-K770/100)*H770*100, IF(A770="BUY",(J770-I770-K770/100)*H770*100, IF(A770="ASS",(J770-I770-K770/100)*H770*100,IF(A770="ASSIGNED",(J770-I770-K770/100)*H770*100, IF(A770="SDI",((J770-I770)*H770)-(K770), IF(A770="","")))))))</f>
        <v/>
      </c>
      <c r="N770" s="16" t="str">
        <f t="shared" ref="N770:N1024" si="14">IF(D770="","",(IF(D770-B770&lt;1,"1",D770-B770)))</f>
        <v/>
      </c>
      <c r="O770" s="17" t="str">
        <f>IF(J770="","",M770/L770)</f>
        <v/>
      </c>
      <c r="P770" s="18" t="str">
        <f>IF(O770="","",(O770/(N770)*365))</f>
        <v/>
      </c>
      <c r="Q770" s="19"/>
    </row>
    <row r="771" spans="1:17" x14ac:dyDescent="0.15">
      <c r="A771" s="23"/>
      <c r="B771" s="3"/>
      <c r="C771" s="3"/>
      <c r="D771" s="3"/>
      <c r="E771" s="3"/>
      <c r="F771" s="23"/>
      <c r="G771" s="24"/>
      <c r="H771" s="1"/>
      <c r="I771" s="6"/>
      <c r="J771" s="6"/>
      <c r="K771" s="5"/>
      <c r="L771" s="24"/>
      <c r="M771" s="31" t="str">
        <f t="shared" si="13"/>
        <v/>
      </c>
      <c r="N771" s="7" t="str">
        <f t="shared" si="14"/>
        <v/>
      </c>
      <c r="O771" s="8" t="str">
        <f>IF(J771="","",M771/L771)</f>
        <v/>
      </c>
      <c r="P771" s="9" t="str">
        <f>IF(O771="","",(O771/(N771)*365))</f>
        <v/>
      </c>
      <c r="Q771" s="10"/>
    </row>
    <row r="772" spans="1:17" x14ac:dyDescent="0.15">
      <c r="A772" s="21"/>
      <c r="B772" s="20"/>
      <c r="C772" s="20"/>
      <c r="D772" s="20"/>
      <c r="E772" s="20"/>
      <c r="F772" s="21"/>
      <c r="G772" s="22"/>
      <c r="H772" s="11"/>
      <c r="I772" s="15"/>
      <c r="J772" s="15"/>
      <c r="K772" s="14"/>
      <c r="L772" s="22"/>
      <c r="M772" s="32" t="str">
        <f t="shared" si="13"/>
        <v/>
      </c>
      <c r="N772" s="16" t="str">
        <f t="shared" si="14"/>
        <v/>
      </c>
      <c r="O772" s="17" t="str">
        <f>IF(J772="","",M772/L772)</f>
        <v/>
      </c>
      <c r="P772" s="18" t="str">
        <f>IF(O772="","",(O772/(N772)*365))</f>
        <v/>
      </c>
      <c r="Q772" s="19"/>
    </row>
    <row r="773" spans="1:17" x14ac:dyDescent="0.15">
      <c r="A773" s="23"/>
      <c r="B773" s="3"/>
      <c r="C773" s="3"/>
      <c r="D773" s="3"/>
      <c r="E773" s="3"/>
      <c r="F773" s="23"/>
      <c r="G773" s="24"/>
      <c r="H773" s="1"/>
      <c r="I773" s="6"/>
      <c r="J773" s="6"/>
      <c r="K773" s="5"/>
      <c r="L773" s="24"/>
      <c r="M773" s="31" t="str">
        <f t="shared" si="13"/>
        <v/>
      </c>
      <c r="N773" s="7" t="str">
        <f t="shared" si="14"/>
        <v/>
      </c>
      <c r="O773" s="8" t="str">
        <f>IF(J773="","",M773/L773)</f>
        <v/>
      </c>
      <c r="P773" s="9" t="str">
        <f>IF(O773="","",(O773/(N773)*365))</f>
        <v/>
      </c>
      <c r="Q773" s="10"/>
    </row>
    <row r="774" spans="1:17" x14ac:dyDescent="0.15">
      <c r="A774" s="21"/>
      <c r="B774" s="20"/>
      <c r="C774" s="20"/>
      <c r="D774" s="20"/>
      <c r="E774" s="20"/>
      <c r="F774" s="21"/>
      <c r="G774" s="22"/>
      <c r="H774" s="11"/>
      <c r="I774" s="15"/>
      <c r="J774" s="15"/>
      <c r="K774" s="14"/>
      <c r="L774" s="22"/>
      <c r="M774" s="32" t="str">
        <f t="shared" si="13"/>
        <v/>
      </c>
      <c r="N774" s="16" t="str">
        <f t="shared" si="14"/>
        <v/>
      </c>
      <c r="O774" s="17" t="str">
        <f>IF(J774="","",M774/L774)</f>
        <v/>
      </c>
      <c r="P774" s="18" t="str">
        <f>IF(O774="","",(O774/(N774)*365))</f>
        <v/>
      </c>
      <c r="Q774" s="19"/>
    </row>
    <row r="775" spans="1:17" x14ac:dyDescent="0.15">
      <c r="A775" s="23"/>
      <c r="B775" s="3"/>
      <c r="C775" s="3"/>
      <c r="D775" s="3"/>
      <c r="E775" s="3"/>
      <c r="F775" s="23"/>
      <c r="G775" s="24"/>
      <c r="H775" s="1"/>
      <c r="I775" s="6"/>
      <c r="J775" s="6"/>
      <c r="K775" s="5"/>
      <c r="L775" s="24"/>
      <c r="M775" s="31" t="str">
        <f t="shared" si="13"/>
        <v/>
      </c>
      <c r="N775" s="7" t="str">
        <f t="shared" si="14"/>
        <v/>
      </c>
      <c r="O775" s="8" t="str">
        <f>IF(J775="","",M775/L775)</f>
        <v/>
      </c>
      <c r="P775" s="9" t="str">
        <f>IF(O775="","",(O775/(N775)*365))</f>
        <v/>
      </c>
      <c r="Q775" s="10"/>
    </row>
    <row r="776" spans="1:17" x14ac:dyDescent="0.15">
      <c r="A776" s="21"/>
      <c r="B776" s="20"/>
      <c r="C776" s="20"/>
      <c r="D776" s="20"/>
      <c r="E776" s="20"/>
      <c r="F776" s="21"/>
      <c r="G776" s="22"/>
      <c r="H776" s="11"/>
      <c r="I776" s="15"/>
      <c r="J776" s="15"/>
      <c r="K776" s="14"/>
      <c r="L776" s="22"/>
      <c r="M776" s="32" t="str">
        <f t="shared" si="13"/>
        <v/>
      </c>
      <c r="N776" s="16" t="str">
        <f t="shared" si="14"/>
        <v/>
      </c>
      <c r="O776" s="17" t="str">
        <f>IF(J776="","",M776/L776)</f>
        <v/>
      </c>
      <c r="P776" s="18" t="str">
        <f>IF(O776="","",(O776/(N776)*365))</f>
        <v/>
      </c>
      <c r="Q776" s="19"/>
    </row>
    <row r="777" spans="1:17" x14ac:dyDescent="0.15">
      <c r="A777" s="23"/>
      <c r="B777" s="3"/>
      <c r="C777" s="3"/>
      <c r="D777" s="3"/>
      <c r="E777" s="3"/>
      <c r="F777" s="23"/>
      <c r="G777" s="24"/>
      <c r="H777" s="1"/>
      <c r="I777" s="6"/>
      <c r="J777" s="6"/>
      <c r="K777" s="5"/>
      <c r="L777" s="24"/>
      <c r="M777" s="31" t="str">
        <f t="shared" si="13"/>
        <v/>
      </c>
      <c r="N777" s="7" t="str">
        <f t="shared" si="14"/>
        <v/>
      </c>
      <c r="O777" s="8" t="str">
        <f>IF(J777="","",M777/L777)</f>
        <v/>
      </c>
      <c r="P777" s="9" t="str">
        <f>IF(O777="","",(O777/(N777)*365))</f>
        <v/>
      </c>
      <c r="Q777" s="10"/>
    </row>
    <row r="778" spans="1:17" x14ac:dyDescent="0.15">
      <c r="A778" s="21"/>
      <c r="B778" s="20"/>
      <c r="C778" s="20"/>
      <c r="D778" s="20"/>
      <c r="E778" s="20"/>
      <c r="F778" s="21"/>
      <c r="G778" s="22"/>
      <c r="H778" s="11"/>
      <c r="I778" s="15"/>
      <c r="J778" s="15"/>
      <c r="K778" s="14"/>
      <c r="L778" s="22"/>
      <c r="M778" s="32" t="str">
        <f t="shared" si="13"/>
        <v/>
      </c>
      <c r="N778" s="16" t="str">
        <f t="shared" si="14"/>
        <v/>
      </c>
      <c r="O778" s="17" t="str">
        <f>IF(J778="","",M778/L778)</f>
        <v/>
      </c>
      <c r="P778" s="18" t="str">
        <f>IF(O778="","",(O778/(N778)*365))</f>
        <v/>
      </c>
      <c r="Q778" s="19"/>
    </row>
    <row r="779" spans="1:17" x14ac:dyDescent="0.15">
      <c r="A779" s="23"/>
      <c r="B779" s="3"/>
      <c r="C779" s="3"/>
      <c r="D779" s="3"/>
      <c r="E779" s="3"/>
      <c r="F779" s="23"/>
      <c r="G779" s="24"/>
      <c r="H779" s="1"/>
      <c r="I779" s="6"/>
      <c r="J779" s="6"/>
      <c r="K779" s="5"/>
      <c r="L779" s="24"/>
      <c r="M779" s="31" t="str">
        <f t="shared" si="13"/>
        <v/>
      </c>
      <c r="N779" s="7" t="str">
        <f t="shared" si="14"/>
        <v/>
      </c>
      <c r="O779" s="8" t="str">
        <f>IF(J779="","",M779/L779)</f>
        <v/>
      </c>
      <c r="P779" s="9" t="str">
        <f>IF(O779="","",(O779/(N779)*365))</f>
        <v/>
      </c>
      <c r="Q779" s="10"/>
    </row>
    <row r="780" spans="1:17" x14ac:dyDescent="0.15">
      <c r="A780" s="21"/>
      <c r="B780" s="20"/>
      <c r="C780" s="20"/>
      <c r="D780" s="20"/>
      <c r="E780" s="20"/>
      <c r="F780" s="21"/>
      <c r="G780" s="22"/>
      <c r="H780" s="11"/>
      <c r="I780" s="15"/>
      <c r="J780" s="15"/>
      <c r="K780" s="14"/>
      <c r="L780" s="22"/>
      <c r="M780" s="32" t="str">
        <f t="shared" si="13"/>
        <v/>
      </c>
      <c r="N780" s="16" t="str">
        <f t="shared" si="14"/>
        <v/>
      </c>
      <c r="O780" s="17" t="str">
        <f>IF(J780="","",M780/L780)</f>
        <v/>
      </c>
      <c r="P780" s="18" t="str">
        <f>IF(O780="","",(O780/(N780)*365))</f>
        <v/>
      </c>
      <c r="Q780" s="19"/>
    </row>
    <row r="781" spans="1:17" x14ac:dyDescent="0.15">
      <c r="A781" s="23"/>
      <c r="B781" s="3"/>
      <c r="C781" s="3"/>
      <c r="D781" s="3"/>
      <c r="E781" s="3"/>
      <c r="F781" s="23"/>
      <c r="G781" s="24"/>
      <c r="H781" s="1"/>
      <c r="I781" s="6"/>
      <c r="J781" s="6"/>
      <c r="K781" s="5"/>
      <c r="L781" s="24"/>
      <c r="M781" s="31" t="str">
        <f t="shared" si="13"/>
        <v/>
      </c>
      <c r="N781" s="7" t="str">
        <f t="shared" si="14"/>
        <v/>
      </c>
      <c r="O781" s="8" t="str">
        <f>IF(J781="","",M781/L781)</f>
        <v/>
      </c>
      <c r="P781" s="9" t="str">
        <f>IF(O781="","",(O781/(N781)*365))</f>
        <v/>
      </c>
      <c r="Q781" s="10"/>
    </row>
    <row r="782" spans="1:17" x14ac:dyDescent="0.15">
      <c r="A782" s="21"/>
      <c r="B782" s="20"/>
      <c r="C782" s="20"/>
      <c r="D782" s="20"/>
      <c r="E782" s="20"/>
      <c r="F782" s="21"/>
      <c r="G782" s="22"/>
      <c r="H782" s="11"/>
      <c r="I782" s="15"/>
      <c r="J782" s="15"/>
      <c r="K782" s="14"/>
      <c r="L782" s="22"/>
      <c r="M782" s="32" t="str">
        <f t="shared" si="13"/>
        <v/>
      </c>
      <c r="N782" s="16" t="str">
        <f t="shared" si="14"/>
        <v/>
      </c>
      <c r="O782" s="17" t="str">
        <f>IF(J782="","",M782/L782)</f>
        <v/>
      </c>
      <c r="P782" s="18" t="str">
        <f>IF(O782="","",(O782/(N782)*365))</f>
        <v/>
      </c>
      <c r="Q782" s="19"/>
    </row>
    <row r="783" spans="1:17" x14ac:dyDescent="0.15">
      <c r="A783" s="23"/>
      <c r="B783" s="3"/>
      <c r="C783" s="3"/>
      <c r="D783" s="3"/>
      <c r="E783" s="3"/>
      <c r="F783" s="23"/>
      <c r="G783" s="24"/>
      <c r="H783" s="1"/>
      <c r="I783" s="6"/>
      <c r="J783" s="6"/>
      <c r="K783" s="5"/>
      <c r="L783" s="24"/>
      <c r="M783" s="31" t="str">
        <f t="shared" si="13"/>
        <v/>
      </c>
      <c r="N783" s="7" t="str">
        <f t="shared" si="14"/>
        <v/>
      </c>
      <c r="O783" s="8" t="str">
        <f>IF(J783="","",M783/L783)</f>
        <v/>
      </c>
      <c r="P783" s="9" t="str">
        <f>IF(O783="","",(O783/(N783)*365))</f>
        <v/>
      </c>
      <c r="Q783" s="10"/>
    </row>
    <row r="784" spans="1:17" x14ac:dyDescent="0.15">
      <c r="A784" s="21"/>
      <c r="B784" s="20"/>
      <c r="C784" s="20"/>
      <c r="D784" s="20"/>
      <c r="E784" s="20"/>
      <c r="F784" s="21"/>
      <c r="G784" s="22"/>
      <c r="H784" s="11"/>
      <c r="I784" s="15"/>
      <c r="J784" s="15"/>
      <c r="K784" s="14"/>
      <c r="L784" s="22"/>
      <c r="M784" s="32" t="str">
        <f t="shared" si="13"/>
        <v/>
      </c>
      <c r="N784" s="16" t="str">
        <f t="shared" si="14"/>
        <v/>
      </c>
      <c r="O784" s="17" t="str">
        <f>IF(J784="","",M784/L784)</f>
        <v/>
      </c>
      <c r="P784" s="18" t="str">
        <f>IF(O784="","",(O784/(N784)*365))</f>
        <v/>
      </c>
      <c r="Q784" s="19"/>
    </row>
    <row r="785" spans="1:17" x14ac:dyDescent="0.15">
      <c r="A785" s="23"/>
      <c r="B785" s="3"/>
      <c r="C785" s="3"/>
      <c r="D785" s="3"/>
      <c r="E785" s="3"/>
      <c r="F785" s="23"/>
      <c r="G785" s="24"/>
      <c r="H785" s="1"/>
      <c r="I785" s="6"/>
      <c r="J785" s="6"/>
      <c r="K785" s="5"/>
      <c r="L785" s="24"/>
      <c r="M785" s="31" t="str">
        <f t="shared" si="13"/>
        <v/>
      </c>
      <c r="N785" s="7" t="str">
        <f t="shared" si="14"/>
        <v/>
      </c>
      <c r="O785" s="8" t="str">
        <f>IF(J785="","",M785/L785)</f>
        <v/>
      </c>
      <c r="P785" s="9" t="str">
        <f>IF(O785="","",(O785/(N785)*365))</f>
        <v/>
      </c>
      <c r="Q785" s="10"/>
    </row>
    <row r="786" spans="1:17" x14ac:dyDescent="0.15">
      <c r="A786" s="21"/>
      <c r="B786" s="20"/>
      <c r="C786" s="20"/>
      <c r="D786" s="20"/>
      <c r="E786" s="20"/>
      <c r="F786" s="21"/>
      <c r="G786" s="22"/>
      <c r="H786" s="11"/>
      <c r="I786" s="15"/>
      <c r="J786" s="15"/>
      <c r="K786" s="14"/>
      <c r="L786" s="22"/>
      <c r="M786" s="32" t="str">
        <f t="shared" si="13"/>
        <v/>
      </c>
      <c r="N786" s="16" t="str">
        <f t="shared" si="14"/>
        <v/>
      </c>
      <c r="O786" s="17" t="str">
        <f>IF(J786="","",M786/L786)</f>
        <v/>
      </c>
      <c r="P786" s="18" t="str">
        <f>IF(O786="","",(O786/(N786)*365))</f>
        <v/>
      </c>
      <c r="Q786" s="19"/>
    </row>
    <row r="787" spans="1:17" x14ac:dyDescent="0.15">
      <c r="A787" s="23"/>
      <c r="B787" s="3"/>
      <c r="C787" s="3"/>
      <c r="D787" s="3"/>
      <c r="E787" s="3"/>
      <c r="F787" s="23"/>
      <c r="G787" s="24"/>
      <c r="H787" s="1"/>
      <c r="I787" s="6"/>
      <c r="J787" s="6"/>
      <c r="K787" s="5"/>
      <c r="L787" s="24"/>
      <c r="M787" s="31" t="str">
        <f t="shared" si="13"/>
        <v/>
      </c>
      <c r="N787" s="7" t="str">
        <f t="shared" si="14"/>
        <v/>
      </c>
      <c r="O787" s="8" t="str">
        <f>IF(J787="","",M787/L787)</f>
        <v/>
      </c>
      <c r="P787" s="9" t="str">
        <f>IF(O787="","",(O787/(N787)*365))</f>
        <v/>
      </c>
      <c r="Q787" s="10"/>
    </row>
    <row r="788" spans="1:17" x14ac:dyDescent="0.15">
      <c r="A788" s="21"/>
      <c r="B788" s="20"/>
      <c r="C788" s="20"/>
      <c r="D788" s="20"/>
      <c r="E788" s="20"/>
      <c r="F788" s="21"/>
      <c r="G788" s="22"/>
      <c r="H788" s="11"/>
      <c r="I788" s="15"/>
      <c r="J788" s="15"/>
      <c r="K788" s="14"/>
      <c r="L788" s="22"/>
      <c r="M788" s="32" t="str">
        <f t="shared" si="13"/>
        <v/>
      </c>
      <c r="N788" s="16" t="str">
        <f t="shared" si="14"/>
        <v/>
      </c>
      <c r="O788" s="17" t="str">
        <f>IF(J788="","",M788/L788)</f>
        <v/>
      </c>
      <c r="P788" s="18" t="str">
        <f>IF(O788="","",(O788/(N788)*365))</f>
        <v/>
      </c>
      <c r="Q788" s="19"/>
    </row>
    <row r="789" spans="1:17" x14ac:dyDescent="0.15">
      <c r="A789" s="23"/>
      <c r="B789" s="3"/>
      <c r="C789" s="3"/>
      <c r="D789" s="3"/>
      <c r="E789" s="3"/>
      <c r="F789" s="23"/>
      <c r="G789" s="24"/>
      <c r="H789" s="1"/>
      <c r="I789" s="6"/>
      <c r="J789" s="6"/>
      <c r="K789" s="5"/>
      <c r="L789" s="24"/>
      <c r="M789" s="31" t="str">
        <f t="shared" si="13"/>
        <v/>
      </c>
      <c r="N789" s="7" t="str">
        <f t="shared" si="14"/>
        <v/>
      </c>
      <c r="O789" s="8" t="str">
        <f>IF(J789="","",M789/L789)</f>
        <v/>
      </c>
      <c r="P789" s="9" t="str">
        <f>IF(O789="","",(O789/(N789)*365))</f>
        <v/>
      </c>
      <c r="Q789" s="10"/>
    </row>
    <row r="790" spans="1:17" x14ac:dyDescent="0.15">
      <c r="A790" s="21"/>
      <c r="B790" s="20"/>
      <c r="C790" s="20"/>
      <c r="D790" s="20"/>
      <c r="E790" s="20"/>
      <c r="F790" s="21"/>
      <c r="G790" s="22"/>
      <c r="H790" s="11"/>
      <c r="I790" s="15"/>
      <c r="J790" s="15"/>
      <c r="K790" s="14"/>
      <c r="L790" s="22"/>
      <c r="M790" s="32" t="str">
        <f t="shared" si="13"/>
        <v/>
      </c>
      <c r="N790" s="16" t="str">
        <f t="shared" si="14"/>
        <v/>
      </c>
      <c r="O790" s="17" t="str">
        <f>IF(J790="","",M790/L790)</f>
        <v/>
      </c>
      <c r="P790" s="18" t="str">
        <f>IF(O790="","",(O790/(N790)*365))</f>
        <v/>
      </c>
      <c r="Q790" s="19"/>
    </row>
    <row r="791" spans="1:17" x14ac:dyDescent="0.15">
      <c r="A791" s="23"/>
      <c r="B791" s="3"/>
      <c r="C791" s="3"/>
      <c r="D791" s="3"/>
      <c r="E791" s="3"/>
      <c r="F791" s="23"/>
      <c r="G791" s="24"/>
      <c r="H791" s="1"/>
      <c r="I791" s="6"/>
      <c r="J791" s="6"/>
      <c r="K791" s="5"/>
      <c r="L791" s="24"/>
      <c r="M791" s="31" t="str">
        <f t="shared" si="13"/>
        <v/>
      </c>
      <c r="N791" s="7" t="str">
        <f t="shared" si="14"/>
        <v/>
      </c>
      <c r="O791" s="8" t="str">
        <f>IF(J791="","",M791/L791)</f>
        <v/>
      </c>
      <c r="P791" s="9" t="str">
        <f>IF(O791="","",(O791/(N791)*365))</f>
        <v/>
      </c>
      <c r="Q791" s="10"/>
    </row>
    <row r="792" spans="1:17" x14ac:dyDescent="0.15">
      <c r="A792" s="21"/>
      <c r="B792" s="20"/>
      <c r="C792" s="20"/>
      <c r="D792" s="20"/>
      <c r="E792" s="20"/>
      <c r="F792" s="21"/>
      <c r="G792" s="22"/>
      <c r="H792" s="11"/>
      <c r="I792" s="15"/>
      <c r="J792" s="15"/>
      <c r="K792" s="14"/>
      <c r="L792" s="22"/>
      <c r="M792" s="32" t="str">
        <f t="shared" si="13"/>
        <v/>
      </c>
      <c r="N792" s="16" t="str">
        <f t="shared" si="14"/>
        <v/>
      </c>
      <c r="O792" s="17" t="str">
        <f>IF(J792="","",M792/L792)</f>
        <v/>
      </c>
      <c r="P792" s="18" t="str">
        <f>IF(O792="","",(O792/(N792)*365))</f>
        <v/>
      </c>
      <c r="Q792" s="19"/>
    </row>
    <row r="793" spans="1:17" x14ac:dyDescent="0.15">
      <c r="A793" s="23"/>
      <c r="B793" s="3"/>
      <c r="C793" s="3"/>
      <c r="D793" s="3"/>
      <c r="E793" s="3"/>
      <c r="F793" s="23"/>
      <c r="G793" s="24"/>
      <c r="H793" s="1"/>
      <c r="I793" s="6"/>
      <c r="J793" s="6"/>
      <c r="K793" s="5"/>
      <c r="L793" s="24"/>
      <c r="M793" s="31" t="str">
        <f t="shared" si="13"/>
        <v/>
      </c>
      <c r="N793" s="7" t="str">
        <f t="shared" si="14"/>
        <v/>
      </c>
      <c r="O793" s="8" t="str">
        <f>IF(J793="","",M793/L793)</f>
        <v/>
      </c>
      <c r="P793" s="9" t="str">
        <f>IF(O793="","",(O793/(N793)*365))</f>
        <v/>
      </c>
      <c r="Q793" s="10"/>
    </row>
    <row r="794" spans="1:17" x14ac:dyDescent="0.15">
      <c r="A794" s="21"/>
      <c r="B794" s="20"/>
      <c r="C794" s="20"/>
      <c r="D794" s="20"/>
      <c r="E794" s="20"/>
      <c r="F794" s="21"/>
      <c r="G794" s="22"/>
      <c r="H794" s="11"/>
      <c r="I794" s="15"/>
      <c r="J794" s="15"/>
      <c r="K794" s="14"/>
      <c r="L794" s="22"/>
      <c r="M794" s="32" t="str">
        <f t="shared" si="13"/>
        <v/>
      </c>
      <c r="N794" s="16" t="str">
        <f t="shared" si="14"/>
        <v/>
      </c>
      <c r="O794" s="17" t="str">
        <f>IF(J794="","",M794/L794)</f>
        <v/>
      </c>
      <c r="P794" s="18" t="str">
        <f>IF(O794="","",(O794/(N794)*365))</f>
        <v/>
      </c>
      <c r="Q794" s="19"/>
    </row>
    <row r="795" spans="1:17" x14ac:dyDescent="0.15">
      <c r="A795" s="23"/>
      <c r="B795" s="3"/>
      <c r="C795" s="3"/>
      <c r="D795" s="3"/>
      <c r="E795" s="3"/>
      <c r="F795" s="23"/>
      <c r="G795" s="24"/>
      <c r="H795" s="1"/>
      <c r="I795" s="6"/>
      <c r="J795" s="6"/>
      <c r="K795" s="5"/>
      <c r="L795" s="24"/>
      <c r="M795" s="31" t="str">
        <f t="shared" si="13"/>
        <v/>
      </c>
      <c r="N795" s="7" t="str">
        <f t="shared" si="14"/>
        <v/>
      </c>
      <c r="O795" s="8" t="str">
        <f>IF(J795="","",M795/L795)</f>
        <v/>
      </c>
      <c r="P795" s="9" t="str">
        <f>IF(O795="","",(O795/(N795)*365))</f>
        <v/>
      </c>
      <c r="Q795" s="10"/>
    </row>
    <row r="796" spans="1:17" x14ac:dyDescent="0.15">
      <c r="A796" s="21"/>
      <c r="B796" s="20"/>
      <c r="C796" s="20"/>
      <c r="D796" s="20"/>
      <c r="E796" s="20"/>
      <c r="F796" s="21"/>
      <c r="G796" s="22"/>
      <c r="H796" s="11"/>
      <c r="I796" s="15"/>
      <c r="J796" s="15"/>
      <c r="K796" s="14"/>
      <c r="L796" s="22"/>
      <c r="M796" s="32" t="str">
        <f t="shared" si="13"/>
        <v/>
      </c>
      <c r="N796" s="16" t="str">
        <f t="shared" si="14"/>
        <v/>
      </c>
      <c r="O796" s="17" t="str">
        <f>IF(J796="","",M796/L796)</f>
        <v/>
      </c>
      <c r="P796" s="18" t="str">
        <f>IF(O796="","",(O796/(N796)*365))</f>
        <v/>
      </c>
      <c r="Q796" s="19"/>
    </row>
    <row r="797" spans="1:17" x14ac:dyDescent="0.15">
      <c r="A797" s="23"/>
      <c r="B797" s="3"/>
      <c r="C797" s="3"/>
      <c r="D797" s="3"/>
      <c r="E797" s="3"/>
      <c r="F797" s="23"/>
      <c r="G797" s="24"/>
      <c r="H797" s="1"/>
      <c r="I797" s="6"/>
      <c r="J797" s="6"/>
      <c r="K797" s="5"/>
      <c r="L797" s="24"/>
      <c r="M797" s="31" t="str">
        <f t="shared" si="13"/>
        <v/>
      </c>
      <c r="N797" s="7" t="str">
        <f t="shared" si="14"/>
        <v/>
      </c>
      <c r="O797" s="8" t="str">
        <f>IF(J797="","",M797/L797)</f>
        <v/>
      </c>
      <c r="P797" s="9" t="str">
        <f>IF(O797="","",(O797/(N797)*365))</f>
        <v/>
      </c>
      <c r="Q797" s="10"/>
    </row>
    <row r="798" spans="1:17" x14ac:dyDescent="0.15">
      <c r="A798" s="21"/>
      <c r="B798" s="20"/>
      <c r="C798" s="20"/>
      <c r="D798" s="20"/>
      <c r="E798" s="20"/>
      <c r="F798" s="21"/>
      <c r="G798" s="22"/>
      <c r="H798" s="11"/>
      <c r="I798" s="15"/>
      <c r="J798" s="15"/>
      <c r="K798" s="14"/>
      <c r="L798" s="22"/>
      <c r="M798" s="32" t="str">
        <f t="shared" si="13"/>
        <v/>
      </c>
      <c r="N798" s="16" t="str">
        <f t="shared" si="14"/>
        <v/>
      </c>
      <c r="O798" s="17" t="str">
        <f>IF(J798="","",M798/L798)</f>
        <v/>
      </c>
      <c r="P798" s="18" t="str">
        <f>IF(O798="","",(O798/(N798)*365))</f>
        <v/>
      </c>
      <c r="Q798" s="19"/>
    </row>
    <row r="799" spans="1:17" x14ac:dyDescent="0.15">
      <c r="A799" s="23"/>
      <c r="B799" s="3"/>
      <c r="C799" s="3"/>
      <c r="D799" s="3"/>
      <c r="E799" s="3"/>
      <c r="F799" s="23"/>
      <c r="G799" s="24"/>
      <c r="H799" s="1"/>
      <c r="I799" s="6"/>
      <c r="J799" s="6"/>
      <c r="K799" s="5"/>
      <c r="L799" s="24"/>
      <c r="M799" s="31" t="str">
        <f t="shared" si="13"/>
        <v/>
      </c>
      <c r="N799" s="7" t="str">
        <f t="shared" si="14"/>
        <v/>
      </c>
      <c r="O799" s="8" t="str">
        <f>IF(J799="","",M799/L799)</f>
        <v/>
      </c>
      <c r="P799" s="9" t="str">
        <f>IF(O799="","",(O799/(N799)*365))</f>
        <v/>
      </c>
      <c r="Q799" s="10"/>
    </row>
    <row r="800" spans="1:17" x14ac:dyDescent="0.15">
      <c r="A800" s="21"/>
      <c r="B800" s="20"/>
      <c r="C800" s="20"/>
      <c r="D800" s="20"/>
      <c r="E800" s="20"/>
      <c r="F800" s="21"/>
      <c r="G800" s="22"/>
      <c r="H800" s="11"/>
      <c r="I800" s="15"/>
      <c r="J800" s="15"/>
      <c r="K800" s="14"/>
      <c r="L800" s="22"/>
      <c r="M800" s="32" t="str">
        <f t="shared" si="13"/>
        <v/>
      </c>
      <c r="N800" s="16" t="str">
        <f t="shared" si="14"/>
        <v/>
      </c>
      <c r="O800" s="17" t="str">
        <f>IF(J800="","",M800/L800)</f>
        <v/>
      </c>
      <c r="P800" s="18" t="str">
        <f>IF(O800="","",(O800/(N800)*365))</f>
        <v/>
      </c>
      <c r="Q800" s="19"/>
    </row>
    <row r="801" spans="1:17" x14ac:dyDescent="0.15">
      <c r="A801" s="23"/>
      <c r="B801" s="3"/>
      <c r="C801" s="3"/>
      <c r="D801" s="3"/>
      <c r="E801" s="3"/>
      <c r="F801" s="23"/>
      <c r="G801" s="24"/>
      <c r="H801" s="1"/>
      <c r="I801" s="6"/>
      <c r="J801" s="6"/>
      <c r="K801" s="5"/>
      <c r="L801" s="24"/>
      <c r="M801" s="31" t="str">
        <f t="shared" si="13"/>
        <v/>
      </c>
      <c r="N801" s="7" t="str">
        <f t="shared" si="14"/>
        <v/>
      </c>
      <c r="O801" s="8" t="str">
        <f>IF(J801="","",M801/L801)</f>
        <v/>
      </c>
      <c r="P801" s="9" t="str">
        <f>IF(O801="","",(O801/(N801)*365))</f>
        <v/>
      </c>
      <c r="Q801" s="10"/>
    </row>
    <row r="802" spans="1:17" x14ac:dyDescent="0.15">
      <c r="A802" s="21"/>
      <c r="B802" s="20"/>
      <c r="C802" s="20"/>
      <c r="D802" s="20"/>
      <c r="E802" s="20"/>
      <c r="F802" s="21"/>
      <c r="G802" s="22"/>
      <c r="H802" s="11"/>
      <c r="I802" s="15"/>
      <c r="J802" s="15"/>
      <c r="K802" s="14"/>
      <c r="L802" s="22"/>
      <c r="M802" s="32" t="str">
        <f t="shared" si="13"/>
        <v/>
      </c>
      <c r="N802" s="16" t="str">
        <f t="shared" si="14"/>
        <v/>
      </c>
      <c r="O802" s="17" t="str">
        <f>IF(J802="","",M802/L802)</f>
        <v/>
      </c>
      <c r="P802" s="18" t="str">
        <f>IF(O802="","",(O802/(N802)*365))</f>
        <v/>
      </c>
      <c r="Q802" s="19"/>
    </row>
    <row r="803" spans="1:17" x14ac:dyDescent="0.15">
      <c r="A803" s="23"/>
      <c r="B803" s="3"/>
      <c r="C803" s="3"/>
      <c r="D803" s="3"/>
      <c r="E803" s="3"/>
      <c r="F803" s="23"/>
      <c r="G803" s="24"/>
      <c r="H803" s="1"/>
      <c r="I803" s="6"/>
      <c r="J803" s="6"/>
      <c r="K803" s="5"/>
      <c r="L803" s="24"/>
      <c r="M803" s="31" t="str">
        <f t="shared" si="13"/>
        <v/>
      </c>
      <c r="N803" s="7" t="str">
        <f t="shared" si="14"/>
        <v/>
      </c>
      <c r="O803" s="8" t="str">
        <f>IF(J803="","",M803/L803)</f>
        <v/>
      </c>
      <c r="P803" s="9" t="str">
        <f>IF(O803="","",(O803/(N803)*365))</f>
        <v/>
      </c>
      <c r="Q803" s="10"/>
    </row>
    <row r="804" spans="1:17" x14ac:dyDescent="0.15">
      <c r="A804" s="21"/>
      <c r="B804" s="20"/>
      <c r="C804" s="20"/>
      <c r="D804" s="20"/>
      <c r="E804" s="20"/>
      <c r="F804" s="21"/>
      <c r="G804" s="22"/>
      <c r="H804" s="11"/>
      <c r="I804" s="15"/>
      <c r="J804" s="15"/>
      <c r="K804" s="14"/>
      <c r="L804" s="22"/>
      <c r="M804" s="32" t="str">
        <f t="shared" si="13"/>
        <v/>
      </c>
      <c r="N804" s="16" t="str">
        <f t="shared" si="14"/>
        <v/>
      </c>
      <c r="O804" s="17" t="str">
        <f>IF(J804="","",M804/L804)</f>
        <v/>
      </c>
      <c r="P804" s="18" t="str">
        <f>IF(O804="","",(O804/(N804)*365))</f>
        <v/>
      </c>
      <c r="Q804" s="19"/>
    </row>
    <row r="805" spans="1:17" x14ac:dyDescent="0.15">
      <c r="A805" s="23"/>
      <c r="B805" s="3"/>
      <c r="C805" s="3"/>
      <c r="D805" s="3"/>
      <c r="E805" s="3"/>
      <c r="F805" s="23"/>
      <c r="G805" s="24"/>
      <c r="H805" s="1"/>
      <c r="I805" s="6"/>
      <c r="J805" s="6"/>
      <c r="K805" s="5"/>
      <c r="L805" s="24"/>
      <c r="M805" s="31" t="str">
        <f t="shared" si="13"/>
        <v/>
      </c>
      <c r="N805" s="7" t="str">
        <f t="shared" si="14"/>
        <v/>
      </c>
      <c r="O805" s="8" t="str">
        <f>IF(J805="","",M805/L805)</f>
        <v/>
      </c>
      <c r="P805" s="9" t="str">
        <f>IF(O805="","",(O805/(N805)*365))</f>
        <v/>
      </c>
      <c r="Q805" s="10"/>
    </row>
    <row r="806" spans="1:17" x14ac:dyDescent="0.15">
      <c r="A806" s="21"/>
      <c r="B806" s="20"/>
      <c r="C806" s="20"/>
      <c r="D806" s="20"/>
      <c r="E806" s="20"/>
      <c r="F806" s="21"/>
      <c r="G806" s="22"/>
      <c r="H806" s="11"/>
      <c r="I806" s="15"/>
      <c r="J806" s="15"/>
      <c r="K806" s="14"/>
      <c r="L806" s="22"/>
      <c r="M806" s="32" t="str">
        <f t="shared" si="13"/>
        <v/>
      </c>
      <c r="N806" s="16" t="str">
        <f t="shared" si="14"/>
        <v/>
      </c>
      <c r="O806" s="17" t="str">
        <f>IF(J806="","",M806/L806)</f>
        <v/>
      </c>
      <c r="P806" s="18" t="str">
        <f>IF(O806="","",(O806/(N806)*365))</f>
        <v/>
      </c>
      <c r="Q806" s="19"/>
    </row>
    <row r="807" spans="1:17" x14ac:dyDescent="0.15">
      <c r="A807" s="23"/>
      <c r="B807" s="3"/>
      <c r="C807" s="3"/>
      <c r="D807" s="3"/>
      <c r="E807" s="3"/>
      <c r="F807" s="23"/>
      <c r="G807" s="24"/>
      <c r="H807" s="1"/>
      <c r="I807" s="6"/>
      <c r="J807" s="6"/>
      <c r="K807" s="5"/>
      <c r="L807" s="24"/>
      <c r="M807" s="31" t="str">
        <f t="shared" si="13"/>
        <v/>
      </c>
      <c r="N807" s="7" t="str">
        <f t="shared" si="14"/>
        <v/>
      </c>
      <c r="O807" s="8" t="str">
        <f>IF(J807="","",M807/L807)</f>
        <v/>
      </c>
      <c r="P807" s="9" t="str">
        <f>IF(O807="","",(O807/(N807)*365))</f>
        <v/>
      </c>
      <c r="Q807" s="10"/>
    </row>
    <row r="808" spans="1:17" x14ac:dyDescent="0.15">
      <c r="A808" s="21"/>
      <c r="B808" s="20"/>
      <c r="C808" s="20"/>
      <c r="D808" s="20"/>
      <c r="E808" s="20"/>
      <c r="F808" s="21"/>
      <c r="G808" s="22"/>
      <c r="H808" s="11"/>
      <c r="I808" s="15"/>
      <c r="J808" s="15"/>
      <c r="K808" s="14"/>
      <c r="L808" s="22"/>
      <c r="M808" s="32" t="str">
        <f t="shared" si="13"/>
        <v/>
      </c>
      <c r="N808" s="16" t="str">
        <f t="shared" si="14"/>
        <v/>
      </c>
      <c r="O808" s="17" t="str">
        <f>IF(J808="","",M808/L808)</f>
        <v/>
      </c>
      <c r="P808" s="18" t="str">
        <f>IF(O808="","",(O808/(N808)*365))</f>
        <v/>
      </c>
      <c r="Q808" s="19"/>
    </row>
    <row r="809" spans="1:17" x14ac:dyDescent="0.15">
      <c r="A809" s="23"/>
      <c r="B809" s="3"/>
      <c r="C809" s="3"/>
      <c r="D809" s="3"/>
      <c r="E809" s="3"/>
      <c r="F809" s="23"/>
      <c r="G809" s="24"/>
      <c r="H809" s="1"/>
      <c r="I809" s="6"/>
      <c r="J809" s="6"/>
      <c r="K809" s="5"/>
      <c r="L809" s="24"/>
      <c r="M809" s="31" t="str">
        <f t="shared" si="13"/>
        <v/>
      </c>
      <c r="N809" s="7" t="str">
        <f t="shared" si="14"/>
        <v/>
      </c>
      <c r="O809" s="8" t="str">
        <f>IF(J809="","",M809/L809)</f>
        <v/>
      </c>
      <c r="P809" s="9" t="str">
        <f>IF(O809="","",(O809/(N809)*365))</f>
        <v/>
      </c>
      <c r="Q809" s="10"/>
    </row>
    <row r="810" spans="1:17" x14ac:dyDescent="0.15">
      <c r="A810" s="21"/>
      <c r="B810" s="20"/>
      <c r="C810" s="20"/>
      <c r="D810" s="20"/>
      <c r="E810" s="20"/>
      <c r="F810" s="21"/>
      <c r="G810" s="22"/>
      <c r="H810" s="11"/>
      <c r="I810" s="15"/>
      <c r="J810" s="15"/>
      <c r="K810" s="14"/>
      <c r="L810" s="22"/>
      <c r="M810" s="32" t="str">
        <f t="shared" si="13"/>
        <v/>
      </c>
      <c r="N810" s="16" t="str">
        <f t="shared" si="14"/>
        <v/>
      </c>
      <c r="O810" s="17" t="str">
        <f>IF(J810="","",M810/L810)</f>
        <v/>
      </c>
      <c r="P810" s="18" t="str">
        <f>IF(O810="","",(O810/(N810)*365))</f>
        <v/>
      </c>
      <c r="Q810" s="19"/>
    </row>
    <row r="811" spans="1:17" x14ac:dyDescent="0.15">
      <c r="A811" s="23"/>
      <c r="B811" s="3"/>
      <c r="C811" s="3"/>
      <c r="D811" s="3"/>
      <c r="E811" s="3"/>
      <c r="F811" s="23"/>
      <c r="G811" s="24"/>
      <c r="H811" s="1"/>
      <c r="I811" s="6"/>
      <c r="J811" s="6"/>
      <c r="K811" s="5"/>
      <c r="L811" s="24"/>
      <c r="M811" s="31" t="str">
        <f t="shared" si="13"/>
        <v/>
      </c>
      <c r="N811" s="7" t="str">
        <f t="shared" si="14"/>
        <v/>
      </c>
      <c r="O811" s="8" t="str">
        <f>IF(J811="","",M811/L811)</f>
        <v/>
      </c>
      <c r="P811" s="9" t="str">
        <f>IF(O811="","",(O811/(N811)*365))</f>
        <v/>
      </c>
      <c r="Q811" s="10"/>
    </row>
    <row r="812" spans="1:17" x14ac:dyDescent="0.15">
      <c r="A812" s="21"/>
      <c r="B812" s="20"/>
      <c r="C812" s="20"/>
      <c r="D812" s="20"/>
      <c r="E812" s="20"/>
      <c r="F812" s="21"/>
      <c r="G812" s="22"/>
      <c r="H812" s="11"/>
      <c r="I812" s="15"/>
      <c r="J812" s="15"/>
      <c r="K812" s="14"/>
      <c r="L812" s="22"/>
      <c r="M812" s="32" t="str">
        <f t="shared" si="13"/>
        <v/>
      </c>
      <c r="N812" s="16" t="str">
        <f t="shared" si="14"/>
        <v/>
      </c>
      <c r="O812" s="17" t="str">
        <f>IF(J812="","",M812/L812)</f>
        <v/>
      </c>
      <c r="P812" s="18" t="str">
        <f>IF(O812="","",(O812/(N812)*365))</f>
        <v/>
      </c>
      <c r="Q812" s="19"/>
    </row>
    <row r="813" spans="1:17" x14ac:dyDescent="0.15">
      <c r="A813" s="23"/>
      <c r="B813" s="3"/>
      <c r="C813" s="3"/>
      <c r="D813" s="3"/>
      <c r="E813" s="3"/>
      <c r="F813" s="23"/>
      <c r="G813" s="24"/>
      <c r="H813" s="1"/>
      <c r="I813" s="6"/>
      <c r="J813" s="6"/>
      <c r="K813" s="5"/>
      <c r="L813" s="24"/>
      <c r="M813" s="31" t="str">
        <f t="shared" si="13"/>
        <v/>
      </c>
      <c r="N813" s="7" t="str">
        <f t="shared" si="14"/>
        <v/>
      </c>
      <c r="O813" s="8" t="str">
        <f>IF(J813="","",M813/L813)</f>
        <v/>
      </c>
      <c r="P813" s="9" t="str">
        <f>IF(O813="","",(O813/(N813)*365))</f>
        <v/>
      </c>
      <c r="Q813" s="10"/>
    </row>
    <row r="814" spans="1:17" x14ac:dyDescent="0.15">
      <c r="A814" s="21"/>
      <c r="B814" s="20"/>
      <c r="C814" s="20"/>
      <c r="D814" s="20"/>
      <c r="E814" s="20"/>
      <c r="F814" s="21"/>
      <c r="G814" s="22"/>
      <c r="H814" s="11"/>
      <c r="I814" s="15"/>
      <c r="J814" s="15"/>
      <c r="K814" s="14"/>
      <c r="L814" s="22"/>
      <c r="M814" s="32" t="str">
        <f t="shared" si="13"/>
        <v/>
      </c>
      <c r="N814" s="16" t="str">
        <f t="shared" si="14"/>
        <v/>
      </c>
      <c r="O814" s="17" t="str">
        <f>IF(J814="","",M814/L814)</f>
        <v/>
      </c>
      <c r="P814" s="18" t="str">
        <f>IF(O814="","",(O814/(N814)*365))</f>
        <v/>
      </c>
      <c r="Q814" s="19"/>
    </row>
    <row r="815" spans="1:17" x14ac:dyDescent="0.15">
      <c r="A815" s="23"/>
      <c r="B815" s="3"/>
      <c r="C815" s="3"/>
      <c r="D815" s="3"/>
      <c r="E815" s="3"/>
      <c r="F815" s="23"/>
      <c r="G815" s="24"/>
      <c r="H815" s="1"/>
      <c r="I815" s="6"/>
      <c r="J815" s="6"/>
      <c r="K815" s="5"/>
      <c r="L815" s="24"/>
      <c r="M815" s="31" t="str">
        <f t="shared" si="13"/>
        <v/>
      </c>
      <c r="N815" s="7" t="str">
        <f t="shared" si="14"/>
        <v/>
      </c>
      <c r="O815" s="8" t="str">
        <f>IF(J815="","",M815/L815)</f>
        <v/>
      </c>
      <c r="P815" s="9" t="str">
        <f>IF(O815="","",(O815/(N815)*365))</f>
        <v/>
      </c>
      <c r="Q815" s="10"/>
    </row>
    <row r="816" spans="1:17" x14ac:dyDescent="0.15">
      <c r="A816" s="21"/>
      <c r="B816" s="20"/>
      <c r="C816" s="20"/>
      <c r="D816" s="20"/>
      <c r="E816" s="20"/>
      <c r="F816" s="21"/>
      <c r="G816" s="22"/>
      <c r="H816" s="11"/>
      <c r="I816" s="15"/>
      <c r="J816" s="15"/>
      <c r="K816" s="14"/>
      <c r="L816" s="22"/>
      <c r="M816" s="32" t="str">
        <f t="shared" si="13"/>
        <v/>
      </c>
      <c r="N816" s="16" t="str">
        <f t="shared" si="14"/>
        <v/>
      </c>
      <c r="O816" s="17" t="str">
        <f>IF(J816="","",M816/L816)</f>
        <v/>
      </c>
      <c r="P816" s="18" t="str">
        <f>IF(O816="","",(O816/(N816)*365))</f>
        <v/>
      </c>
      <c r="Q816" s="19"/>
    </row>
    <row r="817" spans="1:17" x14ac:dyDescent="0.15">
      <c r="A817" s="23"/>
      <c r="B817" s="3"/>
      <c r="C817" s="3"/>
      <c r="D817" s="3"/>
      <c r="E817" s="3"/>
      <c r="F817" s="23"/>
      <c r="G817" s="24"/>
      <c r="H817" s="1"/>
      <c r="I817" s="6"/>
      <c r="J817" s="6"/>
      <c r="K817" s="5"/>
      <c r="L817" s="24"/>
      <c r="M817" s="31" t="str">
        <f t="shared" si="13"/>
        <v/>
      </c>
      <c r="N817" s="7" t="str">
        <f t="shared" si="14"/>
        <v/>
      </c>
      <c r="O817" s="8" t="str">
        <f>IF(J817="","",M817/L817)</f>
        <v/>
      </c>
      <c r="P817" s="9" t="str">
        <f>IF(O817="","",(O817/(N817)*365))</f>
        <v/>
      </c>
      <c r="Q817" s="10"/>
    </row>
    <row r="818" spans="1:17" x14ac:dyDescent="0.15">
      <c r="A818" s="21"/>
      <c r="B818" s="20"/>
      <c r="C818" s="20"/>
      <c r="D818" s="20"/>
      <c r="E818" s="20"/>
      <c r="F818" s="21"/>
      <c r="G818" s="22"/>
      <c r="H818" s="11"/>
      <c r="I818" s="15"/>
      <c r="J818" s="15"/>
      <c r="K818" s="14"/>
      <c r="L818" s="22"/>
      <c r="M818" s="32" t="str">
        <f t="shared" si="13"/>
        <v/>
      </c>
      <c r="N818" s="16" t="str">
        <f t="shared" si="14"/>
        <v/>
      </c>
      <c r="O818" s="17" t="str">
        <f>IF(J818="","",M818/L818)</f>
        <v/>
      </c>
      <c r="P818" s="18" t="str">
        <f>IF(O818="","",(O818/(N818)*365))</f>
        <v/>
      </c>
      <c r="Q818" s="19"/>
    </row>
    <row r="819" spans="1:17" x14ac:dyDescent="0.15">
      <c r="A819" s="23"/>
      <c r="B819" s="3"/>
      <c r="C819" s="3"/>
      <c r="D819" s="3"/>
      <c r="E819" s="3"/>
      <c r="F819" s="23"/>
      <c r="G819" s="24"/>
      <c r="H819" s="1"/>
      <c r="I819" s="6"/>
      <c r="J819" s="6"/>
      <c r="K819" s="5"/>
      <c r="L819" s="24"/>
      <c r="M819" s="31" t="str">
        <f t="shared" si="13"/>
        <v/>
      </c>
      <c r="N819" s="7" t="str">
        <f t="shared" si="14"/>
        <v/>
      </c>
      <c r="O819" s="8" t="str">
        <f>IF(J819="","",M819/L819)</f>
        <v/>
      </c>
      <c r="P819" s="9" t="str">
        <f>IF(O819="","",(O819/(N819)*365))</f>
        <v/>
      </c>
      <c r="Q819" s="10"/>
    </row>
    <row r="820" spans="1:17" x14ac:dyDescent="0.15">
      <c r="A820" s="21"/>
      <c r="B820" s="20"/>
      <c r="C820" s="20"/>
      <c r="D820" s="20"/>
      <c r="E820" s="20"/>
      <c r="F820" s="21"/>
      <c r="G820" s="22"/>
      <c r="H820" s="11"/>
      <c r="I820" s="15"/>
      <c r="J820" s="15"/>
      <c r="K820" s="14"/>
      <c r="L820" s="22"/>
      <c r="M820" s="32" t="str">
        <f t="shared" si="13"/>
        <v/>
      </c>
      <c r="N820" s="16" t="str">
        <f t="shared" si="14"/>
        <v/>
      </c>
      <c r="O820" s="17" t="str">
        <f>IF(J820="","",M820/L820)</f>
        <v/>
      </c>
      <c r="P820" s="18" t="str">
        <f>IF(O820="","",(O820/(N820)*365))</f>
        <v/>
      </c>
      <c r="Q820" s="19"/>
    </row>
    <row r="821" spans="1:17" x14ac:dyDescent="0.15">
      <c r="A821" s="23"/>
      <c r="B821" s="3"/>
      <c r="C821" s="3"/>
      <c r="D821" s="3"/>
      <c r="E821" s="3"/>
      <c r="F821" s="23"/>
      <c r="G821" s="24"/>
      <c r="H821" s="1"/>
      <c r="I821" s="6"/>
      <c r="J821" s="6"/>
      <c r="K821" s="5"/>
      <c r="L821" s="24"/>
      <c r="M821" s="31" t="str">
        <f t="shared" si="13"/>
        <v/>
      </c>
      <c r="N821" s="7" t="str">
        <f t="shared" si="14"/>
        <v/>
      </c>
      <c r="O821" s="8" t="str">
        <f>IF(J821="","",M821/L821)</f>
        <v/>
      </c>
      <c r="P821" s="9" t="str">
        <f>IF(O821="","",(O821/(N821)*365))</f>
        <v/>
      </c>
      <c r="Q821" s="10"/>
    </row>
    <row r="822" spans="1:17" x14ac:dyDescent="0.15">
      <c r="A822" s="21"/>
      <c r="B822" s="20"/>
      <c r="C822" s="20"/>
      <c r="D822" s="20"/>
      <c r="E822" s="20"/>
      <c r="F822" s="21"/>
      <c r="G822" s="22"/>
      <c r="H822" s="11"/>
      <c r="I822" s="15"/>
      <c r="J822" s="15"/>
      <c r="K822" s="14"/>
      <c r="L822" s="22"/>
      <c r="M822" s="32" t="str">
        <f t="shared" si="13"/>
        <v/>
      </c>
      <c r="N822" s="16" t="str">
        <f t="shared" si="14"/>
        <v/>
      </c>
      <c r="O822" s="17" t="str">
        <f>IF(J822="","",M822/L822)</f>
        <v/>
      </c>
      <c r="P822" s="18" t="str">
        <f>IF(O822="","",(O822/(N822)*365))</f>
        <v/>
      </c>
      <c r="Q822" s="19"/>
    </row>
    <row r="823" spans="1:17" x14ac:dyDescent="0.15">
      <c r="A823" s="23"/>
      <c r="B823" s="3"/>
      <c r="C823" s="3"/>
      <c r="D823" s="3"/>
      <c r="E823" s="3"/>
      <c r="F823" s="23"/>
      <c r="G823" s="24"/>
      <c r="H823" s="1"/>
      <c r="I823" s="6"/>
      <c r="J823" s="6"/>
      <c r="K823" s="5"/>
      <c r="L823" s="24"/>
      <c r="M823" s="31" t="str">
        <f t="shared" si="13"/>
        <v/>
      </c>
      <c r="N823" s="7" t="str">
        <f t="shared" si="14"/>
        <v/>
      </c>
      <c r="O823" s="8" t="str">
        <f>IF(J823="","",M823/L823)</f>
        <v/>
      </c>
      <c r="P823" s="9" t="str">
        <f>IF(O823="","",(O823/(N823)*365))</f>
        <v/>
      </c>
      <c r="Q823" s="10"/>
    </row>
    <row r="824" spans="1:17" x14ac:dyDescent="0.15">
      <c r="A824" s="21"/>
      <c r="B824" s="20"/>
      <c r="C824" s="20"/>
      <c r="D824" s="20"/>
      <c r="E824" s="20"/>
      <c r="F824" s="21"/>
      <c r="G824" s="22"/>
      <c r="H824" s="11"/>
      <c r="I824" s="15"/>
      <c r="J824" s="15"/>
      <c r="K824" s="14"/>
      <c r="L824" s="22"/>
      <c r="M824" s="32" t="str">
        <f t="shared" si="13"/>
        <v/>
      </c>
      <c r="N824" s="16" t="str">
        <f t="shared" si="14"/>
        <v/>
      </c>
      <c r="O824" s="17" t="str">
        <f>IF(J824="","",M824/L824)</f>
        <v/>
      </c>
      <c r="P824" s="18" t="str">
        <f>IF(O824="","",(O824/(N824)*365))</f>
        <v/>
      </c>
      <c r="Q824" s="19"/>
    </row>
    <row r="825" spans="1:17" x14ac:dyDescent="0.15">
      <c r="A825" s="23"/>
      <c r="B825" s="3"/>
      <c r="C825" s="3"/>
      <c r="D825" s="3"/>
      <c r="E825" s="3"/>
      <c r="F825" s="23"/>
      <c r="G825" s="24"/>
      <c r="H825" s="1"/>
      <c r="I825" s="6"/>
      <c r="J825" s="6"/>
      <c r="K825" s="5"/>
      <c r="L825" s="24"/>
      <c r="M825" s="31" t="str">
        <f t="shared" si="13"/>
        <v/>
      </c>
      <c r="N825" s="7" t="str">
        <f t="shared" si="14"/>
        <v/>
      </c>
      <c r="O825" s="8" t="str">
        <f>IF(J825="","",M825/L825)</f>
        <v/>
      </c>
      <c r="P825" s="9" t="str">
        <f>IF(O825="","",(O825/(N825)*365))</f>
        <v/>
      </c>
      <c r="Q825" s="10"/>
    </row>
    <row r="826" spans="1:17" x14ac:dyDescent="0.15">
      <c r="A826" s="21"/>
      <c r="B826" s="20"/>
      <c r="C826" s="20"/>
      <c r="D826" s="20"/>
      <c r="E826" s="20"/>
      <c r="F826" s="21"/>
      <c r="G826" s="22"/>
      <c r="H826" s="11"/>
      <c r="I826" s="15"/>
      <c r="J826" s="15"/>
      <c r="K826" s="14"/>
      <c r="L826" s="22"/>
      <c r="M826" s="32" t="str">
        <f t="shared" si="13"/>
        <v/>
      </c>
      <c r="N826" s="16" t="str">
        <f t="shared" si="14"/>
        <v/>
      </c>
      <c r="O826" s="17" t="str">
        <f>IF(J826="","",M826/L826)</f>
        <v/>
      </c>
      <c r="P826" s="18" t="str">
        <f>IF(O826="","",(O826/(N826)*365))</f>
        <v/>
      </c>
      <c r="Q826" s="19"/>
    </row>
    <row r="827" spans="1:17" x14ac:dyDescent="0.15">
      <c r="A827" s="23"/>
      <c r="B827" s="3"/>
      <c r="C827" s="3"/>
      <c r="D827" s="3"/>
      <c r="E827" s="3"/>
      <c r="F827" s="23"/>
      <c r="G827" s="24"/>
      <c r="H827" s="1"/>
      <c r="I827" s="6"/>
      <c r="J827" s="6"/>
      <c r="K827" s="5"/>
      <c r="L827" s="24"/>
      <c r="M827" s="31" t="str">
        <f t="shared" si="13"/>
        <v/>
      </c>
      <c r="N827" s="7" t="str">
        <f t="shared" si="14"/>
        <v/>
      </c>
      <c r="O827" s="8" t="str">
        <f>IF(J827="","",M827/L827)</f>
        <v/>
      </c>
      <c r="P827" s="9" t="str">
        <f>IF(O827="","",(O827/(N827)*365))</f>
        <v/>
      </c>
      <c r="Q827" s="10"/>
    </row>
    <row r="828" spans="1:17" x14ac:dyDescent="0.15">
      <c r="A828" s="21"/>
      <c r="B828" s="20"/>
      <c r="C828" s="20"/>
      <c r="D828" s="20"/>
      <c r="E828" s="20"/>
      <c r="F828" s="21"/>
      <c r="G828" s="22"/>
      <c r="H828" s="11"/>
      <c r="I828" s="15"/>
      <c r="J828" s="15"/>
      <c r="K828" s="14"/>
      <c r="L828" s="22"/>
      <c r="M828" s="32" t="str">
        <f t="shared" si="13"/>
        <v/>
      </c>
      <c r="N828" s="16" t="str">
        <f t="shared" si="14"/>
        <v/>
      </c>
      <c r="O828" s="17" t="str">
        <f>IF(J828="","",M828/L828)</f>
        <v/>
      </c>
      <c r="P828" s="18" t="str">
        <f>IF(O828="","",(O828/(N828)*365))</f>
        <v/>
      </c>
      <c r="Q828" s="19"/>
    </row>
    <row r="829" spans="1:17" x14ac:dyDescent="0.15">
      <c r="A829" s="23"/>
      <c r="B829" s="3"/>
      <c r="C829" s="3"/>
      <c r="D829" s="3"/>
      <c r="E829" s="3"/>
      <c r="F829" s="23"/>
      <c r="G829" s="24"/>
      <c r="H829" s="1"/>
      <c r="I829" s="6"/>
      <c r="J829" s="6"/>
      <c r="K829" s="5"/>
      <c r="L829" s="24"/>
      <c r="M829" s="31" t="str">
        <f t="shared" si="13"/>
        <v/>
      </c>
      <c r="N829" s="7" t="str">
        <f t="shared" si="14"/>
        <v/>
      </c>
      <c r="O829" s="8" t="str">
        <f>IF(J829="","",M829/L829)</f>
        <v/>
      </c>
      <c r="P829" s="9" t="str">
        <f>IF(O829="","",(O829/(N829)*365))</f>
        <v/>
      </c>
      <c r="Q829" s="10"/>
    </row>
    <row r="830" spans="1:17" x14ac:dyDescent="0.15">
      <c r="A830" s="21"/>
      <c r="B830" s="20"/>
      <c r="C830" s="20"/>
      <c r="D830" s="20"/>
      <c r="E830" s="20"/>
      <c r="F830" s="21"/>
      <c r="G830" s="22"/>
      <c r="H830" s="11"/>
      <c r="I830" s="15"/>
      <c r="J830" s="15"/>
      <c r="K830" s="14"/>
      <c r="L830" s="22"/>
      <c r="M830" s="32" t="str">
        <f t="shared" si="13"/>
        <v/>
      </c>
      <c r="N830" s="16" t="str">
        <f t="shared" si="14"/>
        <v/>
      </c>
      <c r="O830" s="17" t="str">
        <f>IF(J830="","",M830/L830)</f>
        <v/>
      </c>
      <c r="P830" s="18" t="str">
        <f>IF(O830="","",(O830/(N830)*365))</f>
        <v/>
      </c>
      <c r="Q830" s="19"/>
    </row>
    <row r="831" spans="1:17" x14ac:dyDescent="0.15">
      <c r="A831" s="23"/>
      <c r="B831" s="3"/>
      <c r="C831" s="3"/>
      <c r="D831" s="3"/>
      <c r="E831" s="3"/>
      <c r="F831" s="23"/>
      <c r="G831" s="24"/>
      <c r="H831" s="1"/>
      <c r="I831" s="6"/>
      <c r="J831" s="6"/>
      <c r="K831" s="5"/>
      <c r="L831" s="24"/>
      <c r="M831" s="31" t="str">
        <f t="shared" si="13"/>
        <v/>
      </c>
      <c r="N831" s="7" t="str">
        <f t="shared" si="14"/>
        <v/>
      </c>
      <c r="O831" s="8" t="str">
        <f>IF(J831="","",M831/L831)</f>
        <v/>
      </c>
      <c r="P831" s="9" t="str">
        <f>IF(O831="","",(O831/(N831)*365))</f>
        <v/>
      </c>
      <c r="Q831" s="10"/>
    </row>
    <row r="832" spans="1:17" x14ac:dyDescent="0.15">
      <c r="A832" s="21"/>
      <c r="B832" s="20"/>
      <c r="C832" s="20"/>
      <c r="D832" s="20"/>
      <c r="E832" s="20"/>
      <c r="F832" s="21"/>
      <c r="G832" s="22"/>
      <c r="H832" s="11"/>
      <c r="I832" s="15"/>
      <c r="J832" s="15"/>
      <c r="K832" s="14"/>
      <c r="L832" s="22"/>
      <c r="M832" s="32" t="str">
        <f t="shared" si="13"/>
        <v/>
      </c>
      <c r="N832" s="16" t="str">
        <f t="shared" si="14"/>
        <v/>
      </c>
      <c r="O832" s="17" t="str">
        <f>IF(J832="","",M832/L832)</f>
        <v/>
      </c>
      <c r="P832" s="18" t="str">
        <f>IF(O832="","",(O832/(N832)*365))</f>
        <v/>
      </c>
      <c r="Q832" s="19"/>
    </row>
    <row r="833" spans="1:17" x14ac:dyDescent="0.15">
      <c r="A833" s="23"/>
      <c r="B833" s="3"/>
      <c r="C833" s="3"/>
      <c r="D833" s="3"/>
      <c r="E833" s="3"/>
      <c r="F833" s="23"/>
      <c r="G833" s="24"/>
      <c r="H833" s="1"/>
      <c r="I833" s="6"/>
      <c r="J833" s="6"/>
      <c r="K833" s="5"/>
      <c r="L833" s="24"/>
      <c r="M833" s="31" t="str">
        <f t="shared" si="13"/>
        <v/>
      </c>
      <c r="N833" s="7" t="str">
        <f t="shared" si="14"/>
        <v/>
      </c>
      <c r="O833" s="8" t="str">
        <f>IF(J833="","",M833/L833)</f>
        <v/>
      </c>
      <c r="P833" s="9" t="str">
        <f>IF(O833="","",(O833/(N833)*365))</f>
        <v/>
      </c>
      <c r="Q833" s="10"/>
    </row>
    <row r="834" spans="1:17" x14ac:dyDescent="0.15">
      <c r="A834" s="21"/>
      <c r="B834" s="20"/>
      <c r="C834" s="20"/>
      <c r="D834" s="20"/>
      <c r="E834" s="20"/>
      <c r="F834" s="21"/>
      <c r="G834" s="22"/>
      <c r="H834" s="11"/>
      <c r="I834" s="15"/>
      <c r="J834" s="15"/>
      <c r="K834" s="14"/>
      <c r="L834" s="22"/>
      <c r="M834" s="32" t="str">
        <f t="shared" si="13"/>
        <v/>
      </c>
      <c r="N834" s="16" t="str">
        <f t="shared" si="14"/>
        <v/>
      </c>
      <c r="O834" s="17" t="str">
        <f>IF(J834="","",M834/L834)</f>
        <v/>
      </c>
      <c r="P834" s="18" t="str">
        <f>IF(O834="","",(O834/(N834)*365))</f>
        <v/>
      </c>
      <c r="Q834" s="19"/>
    </row>
    <row r="835" spans="1:17" x14ac:dyDescent="0.15">
      <c r="A835" s="23"/>
      <c r="B835" s="3"/>
      <c r="C835" s="3"/>
      <c r="D835" s="3"/>
      <c r="E835" s="3"/>
      <c r="F835" s="23"/>
      <c r="G835" s="24"/>
      <c r="H835" s="1"/>
      <c r="I835" s="6"/>
      <c r="J835" s="6"/>
      <c r="K835" s="5"/>
      <c r="L835" s="24"/>
      <c r="M835" s="31" t="str">
        <f t="shared" si="13"/>
        <v/>
      </c>
      <c r="N835" s="7" t="str">
        <f t="shared" si="14"/>
        <v/>
      </c>
      <c r="O835" s="8" t="str">
        <f>IF(J835="","",M835/L835)</f>
        <v/>
      </c>
      <c r="P835" s="9" t="str">
        <f>IF(O835="","",(O835/(N835)*365))</f>
        <v/>
      </c>
      <c r="Q835" s="10"/>
    </row>
    <row r="836" spans="1:17" x14ac:dyDescent="0.15">
      <c r="A836" s="21"/>
      <c r="B836" s="20"/>
      <c r="C836" s="20"/>
      <c r="D836" s="20"/>
      <c r="E836" s="20"/>
      <c r="F836" s="21"/>
      <c r="G836" s="22"/>
      <c r="H836" s="11"/>
      <c r="I836" s="15"/>
      <c r="J836" s="15"/>
      <c r="K836" s="14"/>
      <c r="L836" s="22"/>
      <c r="M836" s="32" t="str">
        <f t="shared" si="13"/>
        <v/>
      </c>
      <c r="N836" s="16" t="str">
        <f t="shared" si="14"/>
        <v/>
      </c>
      <c r="O836" s="17" t="str">
        <f>IF(J836="","",M836/L836)</f>
        <v/>
      </c>
      <c r="P836" s="18" t="str">
        <f>IF(O836="","",(O836/(N836)*365))</f>
        <v/>
      </c>
      <c r="Q836" s="19"/>
    </row>
    <row r="837" spans="1:17" x14ac:dyDescent="0.15">
      <c r="A837" s="23"/>
      <c r="B837" s="3"/>
      <c r="C837" s="3"/>
      <c r="D837" s="3"/>
      <c r="E837" s="3"/>
      <c r="F837" s="23"/>
      <c r="G837" s="24"/>
      <c r="H837" s="1"/>
      <c r="I837" s="6"/>
      <c r="J837" s="6"/>
      <c r="K837" s="5"/>
      <c r="L837" s="24"/>
      <c r="M837" s="31" t="str">
        <f t="shared" si="13"/>
        <v/>
      </c>
      <c r="N837" s="7" t="str">
        <f t="shared" si="14"/>
        <v/>
      </c>
      <c r="O837" s="8" t="str">
        <f>IF(J837="","",M837/L837)</f>
        <v/>
      </c>
      <c r="P837" s="9" t="str">
        <f>IF(O837="","",(O837/(N837)*365))</f>
        <v/>
      </c>
      <c r="Q837" s="10"/>
    </row>
    <row r="838" spans="1:17" x14ac:dyDescent="0.15">
      <c r="A838" s="21"/>
      <c r="B838" s="20"/>
      <c r="C838" s="20"/>
      <c r="D838" s="20"/>
      <c r="E838" s="20"/>
      <c r="F838" s="21"/>
      <c r="G838" s="22"/>
      <c r="H838" s="11"/>
      <c r="I838" s="15"/>
      <c r="J838" s="15"/>
      <c r="K838" s="14"/>
      <c r="L838" s="22"/>
      <c r="M838" s="32" t="str">
        <f t="shared" si="13"/>
        <v/>
      </c>
      <c r="N838" s="16" t="str">
        <f t="shared" si="14"/>
        <v/>
      </c>
      <c r="O838" s="17" t="str">
        <f>IF(J838="","",M838/L838)</f>
        <v/>
      </c>
      <c r="P838" s="18" t="str">
        <f>IF(O838="","",(O838/(N838)*365))</f>
        <v/>
      </c>
      <c r="Q838" s="19"/>
    </row>
    <row r="839" spans="1:17" x14ac:dyDescent="0.15">
      <c r="A839" s="23"/>
      <c r="B839" s="3"/>
      <c r="C839" s="3"/>
      <c r="D839" s="3"/>
      <c r="E839" s="3"/>
      <c r="F839" s="23"/>
      <c r="G839" s="24"/>
      <c r="H839" s="1"/>
      <c r="I839" s="6"/>
      <c r="J839" s="6"/>
      <c r="K839" s="5"/>
      <c r="L839" s="24"/>
      <c r="M839" s="31" t="str">
        <f t="shared" si="13"/>
        <v/>
      </c>
      <c r="N839" s="7" t="str">
        <f t="shared" si="14"/>
        <v/>
      </c>
      <c r="O839" s="8" t="str">
        <f>IF(J839="","",M839/L839)</f>
        <v/>
      </c>
      <c r="P839" s="9" t="str">
        <f>IF(O839="","",(O839/(N839)*365))</f>
        <v/>
      </c>
      <c r="Q839" s="10"/>
    </row>
    <row r="840" spans="1:17" x14ac:dyDescent="0.15">
      <c r="A840" s="21"/>
      <c r="B840" s="20"/>
      <c r="C840" s="20"/>
      <c r="D840" s="20"/>
      <c r="E840" s="20"/>
      <c r="F840" s="21"/>
      <c r="G840" s="22"/>
      <c r="H840" s="11"/>
      <c r="I840" s="15"/>
      <c r="J840" s="15"/>
      <c r="K840" s="14"/>
      <c r="L840" s="22"/>
      <c r="M840" s="32" t="str">
        <f t="shared" si="13"/>
        <v/>
      </c>
      <c r="N840" s="16" t="str">
        <f t="shared" si="14"/>
        <v/>
      </c>
      <c r="O840" s="17" t="str">
        <f>IF(J840="","",M840/L840)</f>
        <v/>
      </c>
      <c r="P840" s="18" t="str">
        <f>IF(O840="","",(O840/(N840)*365))</f>
        <v/>
      </c>
      <c r="Q840" s="19"/>
    </row>
    <row r="841" spans="1:17" x14ac:dyDescent="0.15">
      <c r="A841" s="23"/>
      <c r="B841" s="3"/>
      <c r="C841" s="3"/>
      <c r="D841" s="3"/>
      <c r="E841" s="3"/>
      <c r="F841" s="23"/>
      <c r="G841" s="24"/>
      <c r="H841" s="1"/>
      <c r="I841" s="6"/>
      <c r="J841" s="6"/>
      <c r="K841" s="5"/>
      <c r="L841" s="24"/>
      <c r="M841" s="31" t="str">
        <f t="shared" si="13"/>
        <v/>
      </c>
      <c r="N841" s="7" t="str">
        <f t="shared" si="14"/>
        <v/>
      </c>
      <c r="O841" s="8" t="str">
        <f>IF(J841="","",M841/L841)</f>
        <v/>
      </c>
      <c r="P841" s="9" t="str">
        <f>IF(O841="","",(O841/(N841)*365))</f>
        <v/>
      </c>
      <c r="Q841" s="10"/>
    </row>
    <row r="842" spans="1:17" x14ac:dyDescent="0.15">
      <c r="A842" s="21"/>
      <c r="B842" s="20"/>
      <c r="C842" s="20"/>
      <c r="D842" s="20"/>
      <c r="E842" s="20"/>
      <c r="F842" s="21"/>
      <c r="G842" s="22"/>
      <c r="H842" s="11"/>
      <c r="I842" s="15"/>
      <c r="J842" s="15"/>
      <c r="K842" s="14"/>
      <c r="L842" s="22"/>
      <c r="M842" s="32" t="str">
        <f t="shared" si="13"/>
        <v/>
      </c>
      <c r="N842" s="16" t="str">
        <f t="shared" si="14"/>
        <v/>
      </c>
      <c r="O842" s="17" t="str">
        <f>IF(J842="","",M842/L842)</f>
        <v/>
      </c>
      <c r="P842" s="18" t="str">
        <f>IF(O842="","",(O842/(N842)*365))</f>
        <v/>
      </c>
      <c r="Q842" s="19"/>
    </row>
    <row r="843" spans="1:17" x14ac:dyDescent="0.15">
      <c r="A843" s="23"/>
      <c r="B843" s="3"/>
      <c r="C843" s="3"/>
      <c r="D843" s="3"/>
      <c r="E843" s="3"/>
      <c r="F843" s="23"/>
      <c r="G843" s="24"/>
      <c r="H843" s="1"/>
      <c r="I843" s="6"/>
      <c r="J843" s="6"/>
      <c r="K843" s="5"/>
      <c r="L843" s="24"/>
      <c r="M843" s="31" t="str">
        <f t="shared" si="13"/>
        <v/>
      </c>
      <c r="N843" s="7" t="str">
        <f t="shared" si="14"/>
        <v/>
      </c>
      <c r="O843" s="8" t="str">
        <f>IF(J843="","",M843/L843)</f>
        <v/>
      </c>
      <c r="P843" s="9" t="str">
        <f>IF(O843="","",(O843/(N843)*365))</f>
        <v/>
      </c>
      <c r="Q843" s="10"/>
    </row>
    <row r="844" spans="1:17" x14ac:dyDescent="0.15">
      <c r="A844" s="21"/>
      <c r="B844" s="20"/>
      <c r="C844" s="20"/>
      <c r="D844" s="20"/>
      <c r="E844" s="20"/>
      <c r="F844" s="21"/>
      <c r="G844" s="22"/>
      <c r="H844" s="11"/>
      <c r="I844" s="15"/>
      <c r="J844" s="15"/>
      <c r="K844" s="14"/>
      <c r="L844" s="22"/>
      <c r="M844" s="32" t="str">
        <f t="shared" si="13"/>
        <v/>
      </c>
      <c r="N844" s="16" t="str">
        <f t="shared" si="14"/>
        <v/>
      </c>
      <c r="O844" s="17" t="str">
        <f>IF(J844="","",M844/L844)</f>
        <v/>
      </c>
      <c r="P844" s="18" t="str">
        <f>IF(O844="","",(O844/(N844)*365))</f>
        <v/>
      </c>
      <c r="Q844" s="19"/>
    </row>
    <row r="845" spans="1:17" x14ac:dyDescent="0.15">
      <c r="A845" s="23"/>
      <c r="B845" s="3"/>
      <c r="C845" s="3"/>
      <c r="D845" s="3"/>
      <c r="E845" s="3"/>
      <c r="F845" s="23"/>
      <c r="G845" s="24"/>
      <c r="H845" s="1"/>
      <c r="I845" s="6"/>
      <c r="J845" s="6"/>
      <c r="K845" s="5"/>
      <c r="L845" s="24"/>
      <c r="M845" s="31" t="str">
        <f t="shared" si="13"/>
        <v/>
      </c>
      <c r="N845" s="7" t="str">
        <f t="shared" si="14"/>
        <v/>
      </c>
      <c r="O845" s="8" t="str">
        <f>IF(J845="","",M845/L845)</f>
        <v/>
      </c>
      <c r="P845" s="9" t="str">
        <f>IF(O845="","",(O845/(N845)*365))</f>
        <v/>
      </c>
      <c r="Q845" s="10"/>
    </row>
    <row r="846" spans="1:17" x14ac:dyDescent="0.15">
      <c r="A846" s="21"/>
      <c r="B846" s="20"/>
      <c r="C846" s="20"/>
      <c r="D846" s="20"/>
      <c r="E846" s="20"/>
      <c r="F846" s="21"/>
      <c r="G846" s="22"/>
      <c r="H846" s="11"/>
      <c r="I846" s="15"/>
      <c r="J846" s="15"/>
      <c r="K846" s="14"/>
      <c r="L846" s="22"/>
      <c r="M846" s="32" t="str">
        <f t="shared" si="13"/>
        <v/>
      </c>
      <c r="N846" s="16" t="str">
        <f t="shared" si="14"/>
        <v/>
      </c>
      <c r="O846" s="17" t="str">
        <f>IF(J846="","",M846/L846)</f>
        <v/>
      </c>
      <c r="P846" s="18" t="str">
        <f>IF(O846="","",(O846/(N846)*365))</f>
        <v/>
      </c>
      <c r="Q846" s="19"/>
    </row>
    <row r="847" spans="1:17" x14ac:dyDescent="0.15">
      <c r="A847" s="23"/>
      <c r="B847" s="3"/>
      <c r="C847" s="3"/>
      <c r="D847" s="3"/>
      <c r="E847" s="3"/>
      <c r="F847" s="23"/>
      <c r="G847" s="24"/>
      <c r="H847" s="1"/>
      <c r="I847" s="6"/>
      <c r="J847" s="6"/>
      <c r="K847" s="5"/>
      <c r="L847" s="24"/>
      <c r="M847" s="31" t="str">
        <f t="shared" si="13"/>
        <v/>
      </c>
      <c r="N847" s="7" t="str">
        <f t="shared" si="14"/>
        <v/>
      </c>
      <c r="O847" s="8" t="str">
        <f>IF(J847="","",M847/L847)</f>
        <v/>
      </c>
      <c r="P847" s="9" t="str">
        <f>IF(O847="","",(O847/(N847)*365))</f>
        <v/>
      </c>
      <c r="Q847" s="10"/>
    </row>
    <row r="848" spans="1:17" x14ac:dyDescent="0.15">
      <c r="A848" s="21"/>
      <c r="B848" s="20"/>
      <c r="C848" s="20"/>
      <c r="D848" s="20"/>
      <c r="E848" s="20"/>
      <c r="F848" s="21"/>
      <c r="G848" s="22"/>
      <c r="H848" s="11"/>
      <c r="I848" s="15"/>
      <c r="J848" s="15"/>
      <c r="K848" s="14"/>
      <c r="L848" s="22"/>
      <c r="M848" s="32" t="str">
        <f t="shared" si="13"/>
        <v/>
      </c>
      <c r="N848" s="16" t="str">
        <f t="shared" si="14"/>
        <v/>
      </c>
      <c r="O848" s="17" t="str">
        <f>IF(J848="","",M848/L848)</f>
        <v/>
      </c>
      <c r="P848" s="18" t="str">
        <f>IF(O848="","",(O848/(N848)*365))</f>
        <v/>
      </c>
      <c r="Q848" s="19"/>
    </row>
    <row r="849" spans="1:17" x14ac:dyDescent="0.15">
      <c r="A849" s="23"/>
      <c r="B849" s="3"/>
      <c r="C849" s="3"/>
      <c r="D849" s="3"/>
      <c r="E849" s="3"/>
      <c r="F849" s="23"/>
      <c r="G849" s="24"/>
      <c r="H849" s="1"/>
      <c r="I849" s="6"/>
      <c r="J849" s="6"/>
      <c r="K849" s="5"/>
      <c r="L849" s="24"/>
      <c r="M849" s="31" t="str">
        <f t="shared" si="13"/>
        <v/>
      </c>
      <c r="N849" s="7" t="str">
        <f t="shared" si="14"/>
        <v/>
      </c>
      <c r="O849" s="8" t="str">
        <f>IF(J849="","",M849/L849)</f>
        <v/>
      </c>
      <c r="P849" s="9" t="str">
        <f>IF(O849="","",(O849/(N849)*365))</f>
        <v/>
      </c>
      <c r="Q849" s="10"/>
    </row>
    <row r="850" spans="1:17" x14ac:dyDescent="0.15">
      <c r="A850" s="21"/>
      <c r="B850" s="20"/>
      <c r="C850" s="20"/>
      <c r="D850" s="20"/>
      <c r="E850" s="20"/>
      <c r="F850" s="21"/>
      <c r="G850" s="22"/>
      <c r="H850" s="11"/>
      <c r="I850" s="15"/>
      <c r="J850" s="15"/>
      <c r="K850" s="14"/>
      <c r="L850" s="22"/>
      <c r="M850" s="32" t="str">
        <f t="shared" si="13"/>
        <v/>
      </c>
      <c r="N850" s="16" t="str">
        <f t="shared" si="14"/>
        <v/>
      </c>
      <c r="O850" s="17" t="str">
        <f>IF(J850="","",M850/L850)</f>
        <v/>
      </c>
      <c r="P850" s="18" t="str">
        <f>IF(O850="","",(O850/(N850)*365))</f>
        <v/>
      </c>
      <c r="Q850" s="19"/>
    </row>
    <row r="851" spans="1:17" x14ac:dyDescent="0.15">
      <c r="A851" s="23"/>
      <c r="B851" s="3"/>
      <c r="C851" s="3"/>
      <c r="D851" s="3"/>
      <c r="E851" s="3"/>
      <c r="F851" s="23"/>
      <c r="G851" s="24"/>
      <c r="H851" s="1"/>
      <c r="I851" s="6"/>
      <c r="J851" s="6"/>
      <c r="K851" s="5"/>
      <c r="L851" s="24"/>
      <c r="M851" s="31" t="str">
        <f t="shared" si="13"/>
        <v/>
      </c>
      <c r="N851" s="7" t="str">
        <f t="shared" si="14"/>
        <v/>
      </c>
      <c r="O851" s="8" t="str">
        <f>IF(J851="","",M851/L851)</f>
        <v/>
      </c>
      <c r="P851" s="9" t="str">
        <f>IF(O851="","",(O851/(N851)*365))</f>
        <v/>
      </c>
      <c r="Q851" s="10"/>
    </row>
    <row r="852" spans="1:17" x14ac:dyDescent="0.15">
      <c r="A852" s="21"/>
      <c r="B852" s="20"/>
      <c r="C852" s="20"/>
      <c r="D852" s="20"/>
      <c r="E852" s="20"/>
      <c r="F852" s="21"/>
      <c r="G852" s="22"/>
      <c r="H852" s="11"/>
      <c r="I852" s="15"/>
      <c r="J852" s="15"/>
      <c r="K852" s="14"/>
      <c r="L852" s="22"/>
      <c r="M852" s="32" t="str">
        <f t="shared" si="13"/>
        <v/>
      </c>
      <c r="N852" s="16" t="str">
        <f t="shared" si="14"/>
        <v/>
      </c>
      <c r="O852" s="17" t="str">
        <f>IF(J852="","",M852/L852)</f>
        <v/>
      </c>
      <c r="P852" s="18" t="str">
        <f>IF(O852="","",(O852/(N852)*365))</f>
        <v/>
      </c>
      <c r="Q852" s="19"/>
    </row>
    <row r="853" spans="1:17" x14ac:dyDescent="0.15">
      <c r="A853" s="23"/>
      <c r="B853" s="3"/>
      <c r="C853" s="3"/>
      <c r="D853" s="3"/>
      <c r="E853" s="3"/>
      <c r="F853" s="23"/>
      <c r="G853" s="24"/>
      <c r="H853" s="1"/>
      <c r="I853" s="6"/>
      <c r="J853" s="6"/>
      <c r="K853" s="5"/>
      <c r="L853" s="24"/>
      <c r="M853" s="31" t="str">
        <f t="shared" si="13"/>
        <v/>
      </c>
      <c r="N853" s="7" t="str">
        <f t="shared" si="14"/>
        <v/>
      </c>
      <c r="O853" s="8" t="str">
        <f>IF(J853="","",M853/L853)</f>
        <v/>
      </c>
      <c r="P853" s="9" t="str">
        <f>IF(O853="","",(O853/(N853)*365))</f>
        <v/>
      </c>
      <c r="Q853" s="10"/>
    </row>
    <row r="854" spans="1:17" x14ac:dyDescent="0.15">
      <c r="A854" s="21"/>
      <c r="B854" s="20"/>
      <c r="C854" s="20"/>
      <c r="D854" s="20"/>
      <c r="E854" s="20"/>
      <c r="F854" s="21"/>
      <c r="G854" s="22"/>
      <c r="H854" s="11"/>
      <c r="I854" s="15"/>
      <c r="J854" s="15"/>
      <c r="K854" s="14"/>
      <c r="L854" s="22"/>
      <c r="M854" s="32" t="str">
        <f t="shared" si="13"/>
        <v/>
      </c>
      <c r="N854" s="16" t="str">
        <f t="shared" si="14"/>
        <v/>
      </c>
      <c r="O854" s="17" t="str">
        <f>IF(J854="","",M854/L854)</f>
        <v/>
      </c>
      <c r="P854" s="18" t="str">
        <f>IF(O854="","",(O854/(N854)*365))</f>
        <v/>
      </c>
      <c r="Q854" s="19"/>
    </row>
    <row r="855" spans="1:17" x14ac:dyDescent="0.15">
      <c r="A855" s="23"/>
      <c r="B855" s="3"/>
      <c r="C855" s="3"/>
      <c r="D855" s="3"/>
      <c r="E855" s="3"/>
      <c r="F855" s="23"/>
      <c r="G855" s="24"/>
      <c r="H855" s="1"/>
      <c r="I855" s="6"/>
      <c r="J855" s="6"/>
      <c r="K855" s="5"/>
      <c r="L855" s="24"/>
      <c r="M855" s="31" t="str">
        <f t="shared" si="13"/>
        <v/>
      </c>
      <c r="N855" s="7" t="str">
        <f t="shared" si="14"/>
        <v/>
      </c>
      <c r="O855" s="8" t="str">
        <f>IF(J855="","",M855/L855)</f>
        <v/>
      </c>
      <c r="P855" s="9" t="str">
        <f>IF(O855="","",(O855/(N855)*365))</f>
        <v/>
      </c>
      <c r="Q855" s="10"/>
    </row>
    <row r="856" spans="1:17" x14ac:dyDescent="0.15">
      <c r="A856" s="21"/>
      <c r="B856" s="20"/>
      <c r="C856" s="20"/>
      <c r="D856" s="20"/>
      <c r="E856" s="20"/>
      <c r="F856" s="21"/>
      <c r="G856" s="22"/>
      <c r="H856" s="11"/>
      <c r="I856" s="15"/>
      <c r="J856" s="15"/>
      <c r="K856" s="14"/>
      <c r="L856" s="22"/>
      <c r="M856" s="32" t="str">
        <f t="shared" si="13"/>
        <v/>
      </c>
      <c r="N856" s="16" t="str">
        <f t="shared" si="14"/>
        <v/>
      </c>
      <c r="O856" s="17" t="str">
        <f>IF(J856="","",M856/L856)</f>
        <v/>
      </c>
      <c r="P856" s="18" t="str">
        <f>IF(O856="","",(O856/(N856)*365))</f>
        <v/>
      </c>
      <c r="Q856" s="19"/>
    </row>
    <row r="857" spans="1:17" x14ac:dyDescent="0.15">
      <c r="A857" s="23"/>
      <c r="B857" s="3"/>
      <c r="C857" s="3"/>
      <c r="D857" s="3"/>
      <c r="E857" s="3"/>
      <c r="F857" s="23"/>
      <c r="G857" s="24"/>
      <c r="H857" s="1"/>
      <c r="I857" s="6"/>
      <c r="J857" s="6"/>
      <c r="K857" s="5"/>
      <c r="L857" s="24"/>
      <c r="M857" s="31" t="str">
        <f t="shared" si="13"/>
        <v/>
      </c>
      <c r="N857" s="7" t="str">
        <f t="shared" si="14"/>
        <v/>
      </c>
      <c r="O857" s="8" t="str">
        <f>IF(J857="","",M857/L857)</f>
        <v/>
      </c>
      <c r="P857" s="9" t="str">
        <f>IF(O857="","",(O857/(N857)*365))</f>
        <v/>
      </c>
      <c r="Q857" s="10"/>
    </row>
    <row r="858" spans="1:17" x14ac:dyDescent="0.15">
      <c r="A858" s="21"/>
      <c r="B858" s="20"/>
      <c r="C858" s="20"/>
      <c r="D858" s="20"/>
      <c r="E858" s="20"/>
      <c r="F858" s="21"/>
      <c r="G858" s="22"/>
      <c r="H858" s="11"/>
      <c r="I858" s="15"/>
      <c r="J858" s="15"/>
      <c r="K858" s="14"/>
      <c r="L858" s="22"/>
      <c r="M858" s="32" t="str">
        <f t="shared" si="13"/>
        <v/>
      </c>
      <c r="N858" s="16" t="str">
        <f t="shared" si="14"/>
        <v/>
      </c>
      <c r="O858" s="17" t="str">
        <f>IF(J858="","",M858/L858)</f>
        <v/>
      </c>
      <c r="P858" s="18" t="str">
        <f>IF(O858="","",(O858/(N858)*365))</f>
        <v/>
      </c>
      <c r="Q858" s="19"/>
    </row>
    <row r="859" spans="1:17" x14ac:dyDescent="0.15">
      <c r="A859" s="23"/>
      <c r="B859" s="3"/>
      <c r="C859" s="3"/>
      <c r="D859" s="3"/>
      <c r="E859" s="3"/>
      <c r="F859" s="23"/>
      <c r="G859" s="24"/>
      <c r="H859" s="1"/>
      <c r="I859" s="6"/>
      <c r="J859" s="6"/>
      <c r="K859" s="5"/>
      <c r="L859" s="24"/>
      <c r="M859" s="31" t="str">
        <f t="shared" si="13"/>
        <v/>
      </c>
      <c r="N859" s="7" t="str">
        <f t="shared" si="14"/>
        <v/>
      </c>
      <c r="O859" s="8" t="str">
        <f>IF(J859="","",M859/L859)</f>
        <v/>
      </c>
      <c r="P859" s="9" t="str">
        <f>IF(O859="","",(O859/(N859)*365))</f>
        <v/>
      </c>
      <c r="Q859" s="10"/>
    </row>
    <row r="860" spans="1:17" x14ac:dyDescent="0.15">
      <c r="A860" s="21"/>
      <c r="B860" s="20"/>
      <c r="C860" s="20"/>
      <c r="D860" s="20"/>
      <c r="E860" s="20"/>
      <c r="F860" s="21"/>
      <c r="G860" s="22"/>
      <c r="H860" s="11"/>
      <c r="I860" s="15"/>
      <c r="J860" s="15"/>
      <c r="K860" s="14"/>
      <c r="L860" s="22"/>
      <c r="M860" s="32" t="str">
        <f t="shared" si="13"/>
        <v/>
      </c>
      <c r="N860" s="16" t="str">
        <f t="shared" si="14"/>
        <v/>
      </c>
      <c r="O860" s="17" t="str">
        <f>IF(J860="","",M860/L860)</f>
        <v/>
      </c>
      <c r="P860" s="18" t="str">
        <f>IF(O860="","",(O860/(N860)*365))</f>
        <v/>
      </c>
      <c r="Q860" s="19"/>
    </row>
    <row r="861" spans="1:17" x14ac:dyDescent="0.15">
      <c r="A861" s="23"/>
      <c r="B861" s="3"/>
      <c r="C861" s="3"/>
      <c r="D861" s="3"/>
      <c r="E861" s="3"/>
      <c r="F861" s="23"/>
      <c r="G861" s="24"/>
      <c r="H861" s="1"/>
      <c r="I861" s="6"/>
      <c r="J861" s="6"/>
      <c r="K861" s="5"/>
      <c r="L861" s="24"/>
      <c r="M861" s="31" t="str">
        <f t="shared" si="13"/>
        <v/>
      </c>
      <c r="N861" s="7" t="str">
        <f t="shared" si="14"/>
        <v/>
      </c>
      <c r="O861" s="8" t="str">
        <f>IF(J861="","",M861/L861)</f>
        <v/>
      </c>
      <c r="P861" s="9" t="str">
        <f>IF(O861="","",(O861/(N861)*365))</f>
        <v/>
      </c>
      <c r="Q861" s="10"/>
    </row>
    <row r="862" spans="1:17" x14ac:dyDescent="0.15">
      <c r="A862" s="21"/>
      <c r="B862" s="20"/>
      <c r="C862" s="20"/>
      <c r="D862" s="20"/>
      <c r="E862" s="20"/>
      <c r="F862" s="21"/>
      <c r="G862" s="22"/>
      <c r="H862" s="11"/>
      <c r="I862" s="15"/>
      <c r="J862" s="15"/>
      <c r="K862" s="14"/>
      <c r="L862" s="22"/>
      <c r="M862" s="32" t="str">
        <f t="shared" si="13"/>
        <v/>
      </c>
      <c r="N862" s="16" t="str">
        <f t="shared" si="14"/>
        <v/>
      </c>
      <c r="O862" s="17" t="str">
        <f>IF(J862="","",M862/L862)</f>
        <v/>
      </c>
      <c r="P862" s="18" t="str">
        <f>IF(O862="","",(O862/(N862)*365))</f>
        <v/>
      </c>
      <c r="Q862" s="19"/>
    </row>
    <row r="863" spans="1:17" x14ac:dyDescent="0.15">
      <c r="A863" s="23"/>
      <c r="B863" s="3"/>
      <c r="C863" s="3"/>
      <c r="D863" s="3"/>
      <c r="E863" s="3"/>
      <c r="F863" s="23"/>
      <c r="G863" s="24"/>
      <c r="H863" s="1"/>
      <c r="I863" s="6"/>
      <c r="J863" s="6"/>
      <c r="K863" s="5"/>
      <c r="L863" s="24"/>
      <c r="M863" s="31" t="str">
        <f t="shared" si="13"/>
        <v/>
      </c>
      <c r="N863" s="7" t="str">
        <f t="shared" si="14"/>
        <v/>
      </c>
      <c r="O863" s="8" t="str">
        <f>IF(J863="","",M863/L863)</f>
        <v/>
      </c>
      <c r="P863" s="9" t="str">
        <f>IF(O863="","",(O863/(N863)*365))</f>
        <v/>
      </c>
      <c r="Q863" s="10"/>
    </row>
    <row r="864" spans="1:17" x14ac:dyDescent="0.15">
      <c r="A864" s="21"/>
      <c r="B864" s="20"/>
      <c r="C864" s="20"/>
      <c r="D864" s="20"/>
      <c r="E864" s="20"/>
      <c r="F864" s="21"/>
      <c r="G864" s="22"/>
      <c r="H864" s="11"/>
      <c r="I864" s="15"/>
      <c r="J864" s="15"/>
      <c r="K864" s="14"/>
      <c r="L864" s="22"/>
      <c r="M864" s="32" t="str">
        <f t="shared" si="13"/>
        <v/>
      </c>
      <c r="N864" s="16" t="str">
        <f t="shared" si="14"/>
        <v/>
      </c>
      <c r="O864" s="17" t="str">
        <f>IF(J864="","",M864/L864)</f>
        <v/>
      </c>
      <c r="P864" s="18" t="str">
        <f>IF(O864="","",(O864/(N864)*365))</f>
        <v/>
      </c>
      <c r="Q864" s="19"/>
    </row>
    <row r="865" spans="1:17" x14ac:dyDescent="0.15">
      <c r="A865" s="23"/>
      <c r="B865" s="3"/>
      <c r="C865" s="3"/>
      <c r="D865" s="3"/>
      <c r="E865" s="3"/>
      <c r="F865" s="23"/>
      <c r="G865" s="24"/>
      <c r="H865" s="1"/>
      <c r="I865" s="6"/>
      <c r="J865" s="6"/>
      <c r="K865" s="5"/>
      <c r="L865" s="24"/>
      <c r="M865" s="31" t="str">
        <f t="shared" si="13"/>
        <v/>
      </c>
      <c r="N865" s="7" t="str">
        <f t="shared" si="14"/>
        <v/>
      </c>
      <c r="O865" s="8" t="str">
        <f>IF(J865="","",M865/L865)</f>
        <v/>
      </c>
      <c r="P865" s="9" t="str">
        <f>IF(O865="","",(O865/(N865)*365))</f>
        <v/>
      </c>
      <c r="Q865" s="10"/>
    </row>
    <row r="866" spans="1:17" x14ac:dyDescent="0.15">
      <c r="A866" s="21"/>
      <c r="B866" s="20"/>
      <c r="C866" s="20"/>
      <c r="D866" s="20"/>
      <c r="E866" s="20"/>
      <c r="F866" s="21"/>
      <c r="G866" s="22"/>
      <c r="H866" s="11"/>
      <c r="I866" s="15"/>
      <c r="J866" s="15"/>
      <c r="K866" s="14"/>
      <c r="L866" s="22"/>
      <c r="M866" s="32" t="str">
        <f t="shared" si="13"/>
        <v/>
      </c>
      <c r="N866" s="16" t="str">
        <f t="shared" si="14"/>
        <v/>
      </c>
      <c r="O866" s="17" t="str">
        <f>IF(J866="","",M866/L866)</f>
        <v/>
      </c>
      <c r="P866" s="18" t="str">
        <f>IF(O866="","",(O866/(N866)*365))</f>
        <v/>
      </c>
      <c r="Q866" s="19"/>
    </row>
    <row r="867" spans="1:17" x14ac:dyDescent="0.15">
      <c r="A867" s="23"/>
      <c r="B867" s="3"/>
      <c r="C867" s="3"/>
      <c r="D867" s="3"/>
      <c r="E867" s="3"/>
      <c r="F867" s="23"/>
      <c r="G867" s="24"/>
      <c r="H867" s="1"/>
      <c r="I867" s="6"/>
      <c r="J867" s="6"/>
      <c r="K867" s="5"/>
      <c r="L867" s="24"/>
      <c r="M867" s="31" t="str">
        <f t="shared" si="13"/>
        <v/>
      </c>
      <c r="N867" s="7" t="str">
        <f t="shared" si="14"/>
        <v/>
      </c>
      <c r="O867" s="8" t="str">
        <f>IF(J867="","",M867/L867)</f>
        <v/>
      </c>
      <c r="P867" s="9" t="str">
        <f>IF(O867="","",(O867/(N867)*365))</f>
        <v/>
      </c>
      <c r="Q867" s="10"/>
    </row>
    <row r="868" spans="1:17" x14ac:dyDescent="0.15">
      <c r="A868" s="21"/>
      <c r="B868" s="20"/>
      <c r="C868" s="20"/>
      <c r="D868" s="20"/>
      <c r="E868" s="20"/>
      <c r="F868" s="21"/>
      <c r="G868" s="22"/>
      <c r="H868" s="11"/>
      <c r="I868" s="15"/>
      <c r="J868" s="15"/>
      <c r="K868" s="14"/>
      <c r="L868" s="22"/>
      <c r="M868" s="32" t="str">
        <f t="shared" si="13"/>
        <v/>
      </c>
      <c r="N868" s="16" t="str">
        <f t="shared" si="14"/>
        <v/>
      </c>
      <c r="O868" s="17" t="str">
        <f>IF(J868="","",M868/L868)</f>
        <v/>
      </c>
      <c r="P868" s="18" t="str">
        <f>IF(O868="","",(O868/(N868)*365))</f>
        <v/>
      </c>
      <c r="Q868" s="19"/>
    </row>
    <row r="869" spans="1:17" x14ac:dyDescent="0.15">
      <c r="A869" s="23"/>
      <c r="B869" s="3"/>
      <c r="C869" s="3"/>
      <c r="D869" s="3"/>
      <c r="E869" s="3"/>
      <c r="F869" s="23"/>
      <c r="G869" s="24"/>
      <c r="H869" s="1"/>
      <c r="I869" s="6"/>
      <c r="J869" s="6"/>
      <c r="K869" s="5"/>
      <c r="L869" s="24"/>
      <c r="M869" s="31" t="str">
        <f t="shared" si="13"/>
        <v/>
      </c>
      <c r="N869" s="7" t="str">
        <f t="shared" si="14"/>
        <v/>
      </c>
      <c r="O869" s="8" t="str">
        <f>IF(J869="","",M869/L869)</f>
        <v/>
      </c>
      <c r="P869" s="9" t="str">
        <f>IF(O869="","",(O869/(N869)*365))</f>
        <v/>
      </c>
      <c r="Q869" s="10"/>
    </row>
    <row r="870" spans="1:17" x14ac:dyDescent="0.15">
      <c r="A870" s="21"/>
      <c r="B870" s="20"/>
      <c r="C870" s="20"/>
      <c r="D870" s="20"/>
      <c r="E870" s="20"/>
      <c r="F870" s="21"/>
      <c r="G870" s="22"/>
      <c r="H870" s="11"/>
      <c r="I870" s="15"/>
      <c r="J870" s="15"/>
      <c r="K870" s="14"/>
      <c r="L870" s="22"/>
      <c r="M870" s="32" t="str">
        <f t="shared" si="13"/>
        <v/>
      </c>
      <c r="N870" s="16" t="str">
        <f t="shared" si="14"/>
        <v/>
      </c>
      <c r="O870" s="17" t="str">
        <f>IF(J870="","",M870/L870)</f>
        <v/>
      </c>
      <c r="P870" s="18" t="str">
        <f>IF(O870="","",(O870/(N870)*365))</f>
        <v/>
      </c>
      <c r="Q870" s="19"/>
    </row>
    <row r="871" spans="1:17" x14ac:dyDescent="0.15">
      <c r="A871" s="23"/>
      <c r="B871" s="3"/>
      <c r="C871" s="3"/>
      <c r="D871" s="3"/>
      <c r="E871" s="3"/>
      <c r="F871" s="23"/>
      <c r="G871" s="24"/>
      <c r="H871" s="1"/>
      <c r="I871" s="6"/>
      <c r="J871" s="6"/>
      <c r="K871" s="5"/>
      <c r="L871" s="24"/>
      <c r="M871" s="31" t="str">
        <f t="shared" si="13"/>
        <v/>
      </c>
      <c r="N871" s="7" t="str">
        <f t="shared" si="14"/>
        <v/>
      </c>
      <c r="O871" s="8" t="str">
        <f>IF(J871="","",M871/L871)</f>
        <v/>
      </c>
      <c r="P871" s="9" t="str">
        <f>IF(O871="","",(O871/(N871)*365))</f>
        <v/>
      </c>
      <c r="Q871" s="10"/>
    </row>
    <row r="872" spans="1:17" x14ac:dyDescent="0.15">
      <c r="A872" s="21"/>
      <c r="B872" s="20"/>
      <c r="C872" s="20"/>
      <c r="D872" s="20"/>
      <c r="E872" s="20"/>
      <c r="F872" s="21"/>
      <c r="G872" s="22"/>
      <c r="H872" s="11"/>
      <c r="I872" s="15"/>
      <c r="J872" s="15"/>
      <c r="K872" s="14"/>
      <c r="L872" s="22"/>
      <c r="M872" s="32" t="str">
        <f t="shared" si="13"/>
        <v/>
      </c>
      <c r="N872" s="16" t="str">
        <f t="shared" si="14"/>
        <v/>
      </c>
      <c r="O872" s="17" t="str">
        <f>IF(J872="","",M872/L872)</f>
        <v/>
      </c>
      <c r="P872" s="18" t="str">
        <f>IF(O872="","",(O872/(N872)*365))</f>
        <v/>
      </c>
      <c r="Q872" s="27"/>
    </row>
    <row r="873" spans="1:17" x14ac:dyDescent="0.15">
      <c r="A873" s="23"/>
      <c r="B873" s="3"/>
      <c r="C873" s="3"/>
      <c r="D873" s="3"/>
      <c r="E873" s="3"/>
      <c r="F873" s="23"/>
      <c r="G873" s="24"/>
      <c r="H873" s="1"/>
      <c r="I873" s="6"/>
      <c r="J873" s="6"/>
      <c r="K873" s="5"/>
      <c r="L873" s="24"/>
      <c r="M873" s="31" t="str">
        <f t="shared" si="13"/>
        <v/>
      </c>
      <c r="N873" s="7" t="str">
        <f t="shared" si="14"/>
        <v/>
      </c>
      <c r="O873" s="8" t="str">
        <f>IF(J873="","",M873/L873)</f>
        <v/>
      </c>
      <c r="P873" s="9" t="str">
        <f>IF(O873="","",(O873/(N873)*365))</f>
        <v/>
      </c>
      <c r="Q873" s="10"/>
    </row>
    <row r="874" spans="1:17" x14ac:dyDescent="0.15">
      <c r="A874" s="21"/>
      <c r="B874" s="20"/>
      <c r="C874" s="20"/>
      <c r="D874" s="20"/>
      <c r="E874" s="20"/>
      <c r="F874" s="21"/>
      <c r="G874" s="22"/>
      <c r="H874" s="11"/>
      <c r="I874" s="15"/>
      <c r="J874" s="15"/>
      <c r="K874" s="14"/>
      <c r="L874" s="22"/>
      <c r="M874" s="32" t="str">
        <f t="shared" si="13"/>
        <v/>
      </c>
      <c r="N874" s="16" t="str">
        <f t="shared" si="14"/>
        <v/>
      </c>
      <c r="O874" s="17" t="str">
        <f>IF(J874="","",M874/L874)</f>
        <v/>
      </c>
      <c r="P874" s="18" t="str">
        <f>IF(O874="","",(O874/(N874)*365))</f>
        <v/>
      </c>
      <c r="Q874" s="19"/>
    </row>
    <row r="875" spans="1:17" x14ac:dyDescent="0.15">
      <c r="A875" s="23"/>
      <c r="B875" s="3"/>
      <c r="C875" s="3"/>
      <c r="D875" s="3"/>
      <c r="E875" s="3"/>
      <c r="F875" s="23"/>
      <c r="G875" s="24"/>
      <c r="H875" s="1"/>
      <c r="I875" s="6"/>
      <c r="J875" s="6"/>
      <c r="K875" s="5"/>
      <c r="L875" s="24"/>
      <c r="M875" s="31" t="str">
        <f t="shared" si="13"/>
        <v/>
      </c>
      <c r="N875" s="7" t="str">
        <f t="shared" si="14"/>
        <v/>
      </c>
      <c r="O875" s="8" t="str">
        <f>IF(J875="","",M875/L875)</f>
        <v/>
      </c>
      <c r="P875" s="9" t="str">
        <f>IF(O875="","",(O875/(N875)*365))</f>
        <v/>
      </c>
      <c r="Q875" s="10"/>
    </row>
    <row r="876" spans="1:17" x14ac:dyDescent="0.15">
      <c r="A876" s="21"/>
      <c r="B876" s="20"/>
      <c r="C876" s="20"/>
      <c r="D876" s="20"/>
      <c r="E876" s="20"/>
      <c r="F876" s="21"/>
      <c r="G876" s="22"/>
      <c r="H876" s="11"/>
      <c r="I876" s="15"/>
      <c r="J876" s="15"/>
      <c r="K876" s="14"/>
      <c r="L876" s="22"/>
      <c r="M876" s="32" t="str">
        <f t="shared" si="13"/>
        <v/>
      </c>
      <c r="N876" s="16" t="str">
        <f t="shared" si="14"/>
        <v/>
      </c>
      <c r="O876" s="17" t="str">
        <f>IF(J876="","",M876/L876)</f>
        <v/>
      </c>
      <c r="P876" s="18" t="str">
        <f>IF(O876="","",(O876/(N876)*365))</f>
        <v/>
      </c>
      <c r="Q876" s="19"/>
    </row>
    <row r="877" spans="1:17" x14ac:dyDescent="0.15">
      <c r="A877" s="23"/>
      <c r="B877" s="3"/>
      <c r="C877" s="3"/>
      <c r="D877" s="3"/>
      <c r="E877" s="3"/>
      <c r="F877" s="23"/>
      <c r="G877" s="24"/>
      <c r="H877" s="1"/>
      <c r="I877" s="6"/>
      <c r="J877" s="6"/>
      <c r="K877" s="5"/>
      <c r="L877" s="24"/>
      <c r="M877" s="31" t="str">
        <f t="shared" si="13"/>
        <v/>
      </c>
      <c r="N877" s="7" t="str">
        <f t="shared" si="14"/>
        <v/>
      </c>
      <c r="O877" s="8" t="str">
        <f>IF(J877="","",M877/L877)</f>
        <v/>
      </c>
      <c r="P877" s="9" t="str">
        <f>IF(O877="","",(O877/(N877)*365))</f>
        <v/>
      </c>
      <c r="Q877" s="10"/>
    </row>
    <row r="878" spans="1:17" x14ac:dyDescent="0.15">
      <c r="A878" s="21"/>
      <c r="B878" s="20"/>
      <c r="C878" s="20"/>
      <c r="D878" s="20"/>
      <c r="E878" s="20"/>
      <c r="F878" s="21"/>
      <c r="G878" s="22"/>
      <c r="H878" s="11"/>
      <c r="I878" s="15"/>
      <c r="J878" s="15"/>
      <c r="K878" s="14"/>
      <c r="L878" s="22"/>
      <c r="M878" s="32" t="str">
        <f t="shared" si="13"/>
        <v/>
      </c>
      <c r="N878" s="16" t="str">
        <f t="shared" si="14"/>
        <v/>
      </c>
      <c r="O878" s="17" t="str">
        <f>IF(J878="","",M878/L878)</f>
        <v/>
      </c>
      <c r="P878" s="18" t="str">
        <f>IF(O878="","",(O878/(N878)*365))</f>
        <v/>
      </c>
      <c r="Q878" s="19"/>
    </row>
    <row r="879" spans="1:17" x14ac:dyDescent="0.15">
      <c r="A879" s="23"/>
      <c r="B879" s="3"/>
      <c r="C879" s="3"/>
      <c r="D879" s="3"/>
      <c r="E879" s="3"/>
      <c r="F879" s="23"/>
      <c r="G879" s="24"/>
      <c r="H879" s="1"/>
      <c r="I879" s="6"/>
      <c r="J879" s="6"/>
      <c r="K879" s="5"/>
      <c r="L879" s="24"/>
      <c r="M879" s="31" t="str">
        <f t="shared" si="13"/>
        <v/>
      </c>
      <c r="N879" s="7" t="str">
        <f t="shared" si="14"/>
        <v/>
      </c>
      <c r="O879" s="8" t="str">
        <f>IF(J879="","",M879/L879)</f>
        <v/>
      </c>
      <c r="P879" s="9" t="str">
        <f>IF(O879="","",(O879/(N879)*365))</f>
        <v/>
      </c>
      <c r="Q879" s="10"/>
    </row>
    <row r="880" spans="1:17" x14ac:dyDescent="0.15">
      <c r="A880" s="21"/>
      <c r="B880" s="20"/>
      <c r="C880" s="20"/>
      <c r="D880" s="20"/>
      <c r="E880" s="20"/>
      <c r="F880" s="21"/>
      <c r="G880" s="22"/>
      <c r="H880" s="11"/>
      <c r="I880" s="15"/>
      <c r="J880" s="15"/>
      <c r="K880" s="14"/>
      <c r="L880" s="22"/>
      <c r="M880" s="32" t="str">
        <f t="shared" si="13"/>
        <v/>
      </c>
      <c r="N880" s="16" t="str">
        <f t="shared" si="14"/>
        <v/>
      </c>
      <c r="O880" s="17" t="str">
        <f>IF(J880="","",M880/L880)</f>
        <v/>
      </c>
      <c r="P880" s="18" t="str">
        <f>IF(O880="","",(O880/(N880)*365))</f>
        <v/>
      </c>
      <c r="Q880" s="19"/>
    </row>
    <row r="881" spans="1:17" x14ac:dyDescent="0.15">
      <c r="A881" s="23"/>
      <c r="B881" s="3"/>
      <c r="C881" s="3"/>
      <c r="D881" s="3"/>
      <c r="E881" s="3"/>
      <c r="F881" s="23"/>
      <c r="G881" s="24"/>
      <c r="H881" s="1"/>
      <c r="I881" s="6"/>
      <c r="J881" s="6"/>
      <c r="K881" s="5"/>
      <c r="L881" s="24"/>
      <c r="M881" s="31" t="str">
        <f t="shared" si="13"/>
        <v/>
      </c>
      <c r="N881" s="7" t="str">
        <f t="shared" si="14"/>
        <v/>
      </c>
      <c r="O881" s="8" t="str">
        <f>IF(J881="","",M881/L881)</f>
        <v/>
      </c>
      <c r="P881" s="9" t="str">
        <f>IF(O881="","",(O881/(N881)*365))</f>
        <v/>
      </c>
      <c r="Q881" s="10"/>
    </row>
    <row r="882" spans="1:17" x14ac:dyDescent="0.15">
      <c r="A882" s="21"/>
      <c r="B882" s="20"/>
      <c r="C882" s="20"/>
      <c r="D882" s="20"/>
      <c r="E882" s="20"/>
      <c r="F882" s="21"/>
      <c r="G882" s="22"/>
      <c r="H882" s="11"/>
      <c r="I882" s="15"/>
      <c r="J882" s="15"/>
      <c r="K882" s="14"/>
      <c r="L882" s="22"/>
      <c r="M882" s="32" t="str">
        <f t="shared" si="13"/>
        <v/>
      </c>
      <c r="N882" s="16" t="str">
        <f t="shared" si="14"/>
        <v/>
      </c>
      <c r="O882" s="17" t="str">
        <f>IF(J882="","",M882/L882)</f>
        <v/>
      </c>
      <c r="P882" s="18" t="str">
        <f>IF(O882="","",(O882/(N882)*365))</f>
        <v/>
      </c>
      <c r="Q882" s="19"/>
    </row>
    <row r="883" spans="1:17" x14ac:dyDescent="0.15">
      <c r="A883" s="23"/>
      <c r="B883" s="3"/>
      <c r="C883" s="3"/>
      <c r="D883" s="3"/>
      <c r="E883" s="3"/>
      <c r="F883" s="23"/>
      <c r="G883" s="24"/>
      <c r="H883" s="1"/>
      <c r="I883" s="6"/>
      <c r="J883" s="6"/>
      <c r="K883" s="5"/>
      <c r="L883" s="24"/>
      <c r="M883" s="31" t="str">
        <f t="shared" si="13"/>
        <v/>
      </c>
      <c r="N883" s="7" t="str">
        <f t="shared" si="14"/>
        <v/>
      </c>
      <c r="O883" s="8" t="str">
        <f>IF(J883="","",M883/L883)</f>
        <v/>
      </c>
      <c r="P883" s="9" t="str">
        <f>IF(O883="","",(O883/(N883)*365))</f>
        <v/>
      </c>
      <c r="Q883" s="10"/>
    </row>
    <row r="884" spans="1:17" x14ac:dyDescent="0.15">
      <c r="A884" s="21"/>
      <c r="B884" s="20"/>
      <c r="C884" s="20"/>
      <c r="D884" s="20"/>
      <c r="E884" s="20"/>
      <c r="F884" s="21"/>
      <c r="G884" s="22"/>
      <c r="H884" s="11"/>
      <c r="I884" s="15"/>
      <c r="J884" s="15"/>
      <c r="K884" s="14"/>
      <c r="L884" s="22"/>
      <c r="M884" s="32" t="str">
        <f t="shared" si="13"/>
        <v/>
      </c>
      <c r="N884" s="16" t="str">
        <f t="shared" si="14"/>
        <v/>
      </c>
      <c r="O884" s="17" t="str">
        <f>IF(J884="","",M884/L884)</f>
        <v/>
      </c>
      <c r="P884" s="18" t="str">
        <f>IF(O884="","",(O884/(N884)*365))</f>
        <v/>
      </c>
      <c r="Q884" s="19"/>
    </row>
    <row r="885" spans="1:17" x14ac:dyDescent="0.15">
      <c r="A885" s="23"/>
      <c r="B885" s="3"/>
      <c r="C885" s="3"/>
      <c r="D885" s="3"/>
      <c r="E885" s="3"/>
      <c r="F885" s="23"/>
      <c r="G885" s="24"/>
      <c r="H885" s="1"/>
      <c r="I885" s="6"/>
      <c r="J885" s="6"/>
      <c r="K885" s="5"/>
      <c r="L885" s="24"/>
      <c r="M885" s="31" t="str">
        <f t="shared" si="13"/>
        <v/>
      </c>
      <c r="N885" s="7" t="str">
        <f t="shared" si="14"/>
        <v/>
      </c>
      <c r="O885" s="8" t="str">
        <f>IF(J885="","",M885/L885)</f>
        <v/>
      </c>
      <c r="P885" s="9" t="str">
        <f>IF(O885="","",(O885/(N885)*365))</f>
        <v/>
      </c>
      <c r="Q885" s="10"/>
    </row>
    <row r="886" spans="1:17" x14ac:dyDescent="0.15">
      <c r="A886" s="21"/>
      <c r="B886" s="20"/>
      <c r="C886" s="20"/>
      <c r="D886" s="20"/>
      <c r="E886" s="20"/>
      <c r="F886" s="21"/>
      <c r="G886" s="22"/>
      <c r="H886" s="11"/>
      <c r="I886" s="15"/>
      <c r="J886" s="15"/>
      <c r="K886" s="14"/>
      <c r="L886" s="22"/>
      <c r="M886" s="32" t="str">
        <f t="shared" si="13"/>
        <v/>
      </c>
      <c r="N886" s="16" t="str">
        <f t="shared" si="14"/>
        <v/>
      </c>
      <c r="O886" s="17" t="str">
        <f>IF(J886="","",M886/L886)</f>
        <v/>
      </c>
      <c r="P886" s="18" t="str">
        <f>IF(O886="","",(O886/(N886)*365))</f>
        <v/>
      </c>
      <c r="Q886" s="19"/>
    </row>
    <row r="887" spans="1:17" x14ac:dyDescent="0.15">
      <c r="A887" s="23"/>
      <c r="B887" s="3"/>
      <c r="C887" s="3"/>
      <c r="D887" s="3"/>
      <c r="E887" s="3"/>
      <c r="F887" s="23"/>
      <c r="G887" s="24"/>
      <c r="H887" s="1"/>
      <c r="I887" s="6"/>
      <c r="J887" s="6"/>
      <c r="K887" s="5"/>
      <c r="L887" s="24"/>
      <c r="M887" s="31" t="str">
        <f t="shared" si="13"/>
        <v/>
      </c>
      <c r="N887" s="7" t="str">
        <f t="shared" si="14"/>
        <v/>
      </c>
      <c r="O887" s="8" t="str">
        <f>IF(J887="","",M887/L887)</f>
        <v/>
      </c>
      <c r="P887" s="9" t="str">
        <f>IF(O887="","",(O887/(N887)*365))</f>
        <v/>
      </c>
      <c r="Q887" s="10"/>
    </row>
    <row r="888" spans="1:17" x14ac:dyDescent="0.15">
      <c r="A888" s="21"/>
      <c r="B888" s="20"/>
      <c r="C888" s="20"/>
      <c r="D888" s="20"/>
      <c r="E888" s="20"/>
      <c r="F888" s="21"/>
      <c r="G888" s="22"/>
      <c r="H888" s="11"/>
      <c r="I888" s="15"/>
      <c r="J888" s="15"/>
      <c r="K888" s="14"/>
      <c r="L888" s="22"/>
      <c r="M888" s="32" t="str">
        <f t="shared" si="13"/>
        <v/>
      </c>
      <c r="N888" s="16" t="str">
        <f t="shared" si="14"/>
        <v/>
      </c>
      <c r="O888" s="17" t="str">
        <f>IF(J888="","",M888/L888)</f>
        <v/>
      </c>
      <c r="P888" s="18" t="str">
        <f>IF(O888="","",(O888/(N888)*365))</f>
        <v/>
      </c>
      <c r="Q888" s="19"/>
    </row>
    <row r="889" spans="1:17" x14ac:dyDescent="0.15">
      <c r="A889" s="23"/>
      <c r="B889" s="3"/>
      <c r="C889" s="3"/>
      <c r="D889" s="3"/>
      <c r="E889" s="3"/>
      <c r="F889" s="23"/>
      <c r="G889" s="24"/>
      <c r="H889" s="1"/>
      <c r="I889" s="6"/>
      <c r="J889" s="6"/>
      <c r="K889" s="5"/>
      <c r="L889" s="24"/>
      <c r="M889" s="31" t="str">
        <f t="shared" si="13"/>
        <v/>
      </c>
      <c r="N889" s="7" t="str">
        <f t="shared" si="14"/>
        <v/>
      </c>
      <c r="O889" s="8" t="str">
        <f>IF(J889="","",M889/L889)</f>
        <v/>
      </c>
      <c r="P889" s="9" t="str">
        <f>IF(O889="","",(O889/(N889)*365))</f>
        <v/>
      </c>
      <c r="Q889" s="10"/>
    </row>
    <row r="890" spans="1:17" x14ac:dyDescent="0.15">
      <c r="A890" s="21"/>
      <c r="B890" s="20"/>
      <c r="C890" s="20"/>
      <c r="D890" s="20"/>
      <c r="E890" s="20"/>
      <c r="F890" s="21"/>
      <c r="G890" s="22"/>
      <c r="H890" s="11"/>
      <c r="I890" s="15"/>
      <c r="J890" s="15"/>
      <c r="K890" s="14"/>
      <c r="L890" s="22"/>
      <c r="M890" s="32" t="str">
        <f t="shared" si="13"/>
        <v/>
      </c>
      <c r="N890" s="16" t="str">
        <f t="shared" si="14"/>
        <v/>
      </c>
      <c r="O890" s="17" t="str">
        <f>IF(J890="","",M890/L890)</f>
        <v/>
      </c>
      <c r="P890" s="18" t="str">
        <f>IF(O890="","",(O890/(N890)*365))</f>
        <v/>
      </c>
      <c r="Q890" s="19"/>
    </row>
    <row r="891" spans="1:17" x14ac:dyDescent="0.15">
      <c r="A891" s="23"/>
      <c r="B891" s="3"/>
      <c r="C891" s="3"/>
      <c r="D891" s="3"/>
      <c r="E891" s="3"/>
      <c r="F891" s="23"/>
      <c r="G891" s="24"/>
      <c r="H891" s="1"/>
      <c r="I891" s="6"/>
      <c r="J891" s="6"/>
      <c r="K891" s="5"/>
      <c r="L891" s="24"/>
      <c r="M891" s="31" t="str">
        <f t="shared" si="13"/>
        <v/>
      </c>
      <c r="N891" s="7" t="str">
        <f t="shared" si="14"/>
        <v/>
      </c>
      <c r="O891" s="8" t="str">
        <f>IF(J891="","",M891/L891)</f>
        <v/>
      </c>
      <c r="P891" s="9" t="str">
        <f>IF(O891="","",(O891/(N891)*365))</f>
        <v/>
      </c>
      <c r="Q891" s="10"/>
    </row>
    <row r="892" spans="1:17" x14ac:dyDescent="0.15">
      <c r="A892" s="21"/>
      <c r="B892" s="20"/>
      <c r="C892" s="20"/>
      <c r="D892" s="20"/>
      <c r="E892" s="20"/>
      <c r="F892" s="21"/>
      <c r="G892" s="22"/>
      <c r="H892" s="11"/>
      <c r="I892" s="15"/>
      <c r="J892" s="15"/>
      <c r="K892" s="14"/>
      <c r="L892" s="22"/>
      <c r="M892" s="32" t="str">
        <f t="shared" si="13"/>
        <v/>
      </c>
      <c r="N892" s="16" t="str">
        <f t="shared" si="14"/>
        <v/>
      </c>
      <c r="O892" s="17" t="str">
        <f>IF(J892="","",M892/L892)</f>
        <v/>
      </c>
      <c r="P892" s="18" t="str">
        <f>IF(O892="","",(O892/(N892)*365))</f>
        <v/>
      </c>
      <c r="Q892" s="19"/>
    </row>
    <row r="893" spans="1:17" x14ac:dyDescent="0.15">
      <c r="A893" s="23"/>
      <c r="B893" s="3"/>
      <c r="C893" s="3"/>
      <c r="D893" s="3"/>
      <c r="E893" s="3"/>
      <c r="F893" s="23"/>
      <c r="G893" s="24"/>
      <c r="H893" s="1"/>
      <c r="I893" s="6"/>
      <c r="J893" s="6"/>
      <c r="K893" s="5"/>
      <c r="L893" s="24"/>
      <c r="M893" s="31" t="str">
        <f t="shared" si="13"/>
        <v/>
      </c>
      <c r="N893" s="7" t="str">
        <f t="shared" si="14"/>
        <v/>
      </c>
      <c r="O893" s="8" t="str">
        <f>IF(J893="","",M893/L893)</f>
        <v/>
      </c>
      <c r="P893" s="9" t="str">
        <f>IF(O893="","",(O893/(N893)*365))</f>
        <v/>
      </c>
      <c r="Q893" s="10"/>
    </row>
    <row r="894" spans="1:17" x14ac:dyDescent="0.15">
      <c r="A894" s="21"/>
      <c r="B894" s="20"/>
      <c r="C894" s="20"/>
      <c r="D894" s="20"/>
      <c r="E894" s="20"/>
      <c r="F894" s="21"/>
      <c r="G894" s="22"/>
      <c r="H894" s="11"/>
      <c r="I894" s="15"/>
      <c r="J894" s="15"/>
      <c r="K894" s="14"/>
      <c r="L894" s="22"/>
      <c r="M894" s="32" t="str">
        <f t="shared" si="13"/>
        <v/>
      </c>
      <c r="N894" s="16" t="str">
        <f t="shared" si="14"/>
        <v/>
      </c>
      <c r="O894" s="17" t="str">
        <f>IF(J894="","",M894/L894)</f>
        <v/>
      </c>
      <c r="P894" s="18" t="str">
        <f>IF(O894="","",(O894/(N894)*365))</f>
        <v/>
      </c>
      <c r="Q894" s="19"/>
    </row>
    <row r="895" spans="1:17" x14ac:dyDescent="0.15">
      <c r="A895" s="23"/>
      <c r="B895" s="3"/>
      <c r="C895" s="3"/>
      <c r="D895" s="3"/>
      <c r="E895" s="3"/>
      <c r="F895" s="23"/>
      <c r="G895" s="24"/>
      <c r="H895" s="1"/>
      <c r="I895" s="6"/>
      <c r="J895" s="6"/>
      <c r="K895" s="5"/>
      <c r="L895" s="24"/>
      <c r="M895" s="31" t="str">
        <f t="shared" si="13"/>
        <v/>
      </c>
      <c r="N895" s="7" t="str">
        <f t="shared" si="14"/>
        <v/>
      </c>
      <c r="O895" s="8" t="str">
        <f>IF(J895="","",M895/L895)</f>
        <v/>
      </c>
      <c r="P895" s="9" t="str">
        <f>IF(O895="","",(O895/(N895)*365))</f>
        <v/>
      </c>
      <c r="Q895" s="10"/>
    </row>
    <row r="896" spans="1:17" x14ac:dyDescent="0.15">
      <c r="A896" s="21"/>
      <c r="B896" s="20"/>
      <c r="C896" s="20"/>
      <c r="D896" s="20"/>
      <c r="E896" s="20"/>
      <c r="F896" s="21"/>
      <c r="G896" s="22"/>
      <c r="H896" s="11"/>
      <c r="I896" s="15"/>
      <c r="J896" s="15"/>
      <c r="K896" s="14"/>
      <c r="L896" s="22"/>
      <c r="M896" s="32" t="str">
        <f t="shared" si="13"/>
        <v/>
      </c>
      <c r="N896" s="16" t="str">
        <f t="shared" si="14"/>
        <v/>
      </c>
      <c r="O896" s="17" t="str">
        <f>IF(J896="","",M896/L896)</f>
        <v/>
      </c>
      <c r="P896" s="18" t="str">
        <f>IF(O896="","",(O896/(N896)*365))</f>
        <v/>
      </c>
      <c r="Q896" s="19"/>
    </row>
    <row r="897" spans="1:17" x14ac:dyDescent="0.15">
      <c r="A897" s="23"/>
      <c r="B897" s="3"/>
      <c r="C897" s="3"/>
      <c r="D897" s="3"/>
      <c r="E897" s="3"/>
      <c r="F897" s="23"/>
      <c r="G897" s="24"/>
      <c r="H897" s="1"/>
      <c r="I897" s="6"/>
      <c r="J897" s="6"/>
      <c r="K897" s="5"/>
      <c r="L897" s="24"/>
      <c r="M897" s="31" t="str">
        <f t="shared" si="13"/>
        <v/>
      </c>
      <c r="N897" s="7" t="str">
        <f t="shared" si="14"/>
        <v/>
      </c>
      <c r="O897" s="8" t="str">
        <f>IF(J897="","",M897/L897)</f>
        <v/>
      </c>
      <c r="P897" s="9" t="str">
        <f>IF(O897="","",(O897/(N897)*365))</f>
        <v/>
      </c>
      <c r="Q897" s="10"/>
    </row>
    <row r="898" spans="1:17" x14ac:dyDescent="0.15">
      <c r="A898" s="21"/>
      <c r="B898" s="20"/>
      <c r="C898" s="20"/>
      <c r="D898" s="20"/>
      <c r="E898" s="20"/>
      <c r="F898" s="21"/>
      <c r="G898" s="22"/>
      <c r="H898" s="11"/>
      <c r="I898" s="15"/>
      <c r="J898" s="15"/>
      <c r="K898" s="14"/>
      <c r="L898" s="22"/>
      <c r="M898" s="32" t="str">
        <f t="shared" si="13"/>
        <v/>
      </c>
      <c r="N898" s="16" t="str">
        <f t="shared" si="14"/>
        <v/>
      </c>
      <c r="O898" s="17" t="str">
        <f>IF(J898="","",M898/L898)</f>
        <v/>
      </c>
      <c r="P898" s="18" t="str">
        <f>IF(O898="","",(O898/(N898)*365))</f>
        <v/>
      </c>
      <c r="Q898" s="19"/>
    </row>
    <row r="899" spans="1:17" x14ac:dyDescent="0.15">
      <c r="A899" s="23"/>
      <c r="B899" s="3"/>
      <c r="C899" s="3"/>
      <c r="D899" s="3"/>
      <c r="E899" s="3"/>
      <c r="F899" s="23"/>
      <c r="G899" s="24"/>
      <c r="H899" s="1"/>
      <c r="I899" s="6"/>
      <c r="J899" s="6"/>
      <c r="K899" s="5"/>
      <c r="L899" s="24"/>
      <c r="M899" s="31" t="str">
        <f t="shared" si="13"/>
        <v/>
      </c>
      <c r="N899" s="7" t="str">
        <f t="shared" si="14"/>
        <v/>
      </c>
      <c r="O899" s="8" t="str">
        <f>IF(J899="","",M899/L899)</f>
        <v/>
      </c>
      <c r="P899" s="9" t="str">
        <f>IF(O899="","",(O899/(N899)*365))</f>
        <v/>
      </c>
      <c r="Q899" s="10"/>
    </row>
    <row r="900" spans="1:17" x14ac:dyDescent="0.15">
      <c r="A900" s="21"/>
      <c r="B900" s="20"/>
      <c r="C900" s="20"/>
      <c r="D900" s="20"/>
      <c r="E900" s="20"/>
      <c r="F900" s="21"/>
      <c r="G900" s="22"/>
      <c r="H900" s="11"/>
      <c r="I900" s="15"/>
      <c r="J900" s="15"/>
      <c r="K900" s="14"/>
      <c r="L900" s="22"/>
      <c r="M900" s="32" t="str">
        <f t="shared" si="13"/>
        <v/>
      </c>
      <c r="N900" s="16" t="str">
        <f t="shared" si="14"/>
        <v/>
      </c>
      <c r="O900" s="17" t="str">
        <f>IF(J900="","",M900/L900)</f>
        <v/>
      </c>
      <c r="P900" s="18" t="str">
        <f>IF(O900="","",(O900/(N900)*365))</f>
        <v/>
      </c>
      <c r="Q900" s="19"/>
    </row>
    <row r="901" spans="1:17" x14ac:dyDescent="0.15">
      <c r="A901" s="23"/>
      <c r="B901" s="3"/>
      <c r="C901" s="3"/>
      <c r="D901" s="3"/>
      <c r="E901" s="3"/>
      <c r="F901" s="23"/>
      <c r="G901" s="24"/>
      <c r="H901" s="1"/>
      <c r="I901" s="6"/>
      <c r="J901" s="6"/>
      <c r="K901" s="5"/>
      <c r="L901" s="24"/>
      <c r="M901" s="31" t="str">
        <f t="shared" si="13"/>
        <v/>
      </c>
      <c r="N901" s="7" t="str">
        <f t="shared" si="14"/>
        <v/>
      </c>
      <c r="O901" s="8" t="str">
        <f>IF(J901="","",M901/L901)</f>
        <v/>
      </c>
      <c r="P901" s="9" t="str">
        <f>IF(O901="","",(O901/(N901)*365))</f>
        <v/>
      </c>
      <c r="Q901" s="10"/>
    </row>
    <row r="902" spans="1:17" x14ac:dyDescent="0.15">
      <c r="A902" s="21"/>
      <c r="B902" s="20"/>
      <c r="C902" s="20"/>
      <c r="D902" s="20"/>
      <c r="E902" s="20"/>
      <c r="F902" s="21"/>
      <c r="G902" s="22"/>
      <c r="H902" s="11"/>
      <c r="I902" s="15"/>
      <c r="J902" s="15"/>
      <c r="K902" s="14"/>
      <c r="L902" s="22"/>
      <c r="M902" s="32" t="str">
        <f t="shared" si="13"/>
        <v/>
      </c>
      <c r="N902" s="16" t="str">
        <f t="shared" si="14"/>
        <v/>
      </c>
      <c r="O902" s="17" t="str">
        <f>IF(J902="","",M902/L902)</f>
        <v/>
      </c>
      <c r="P902" s="18" t="str">
        <f>IF(O902="","",(O902/(N902)*365))</f>
        <v/>
      </c>
      <c r="Q902" s="19"/>
    </row>
    <row r="903" spans="1:17" x14ac:dyDescent="0.15">
      <c r="A903" s="23"/>
      <c r="B903" s="3"/>
      <c r="C903" s="3"/>
      <c r="D903" s="3"/>
      <c r="E903" s="3"/>
      <c r="F903" s="23"/>
      <c r="G903" s="24"/>
      <c r="H903" s="1"/>
      <c r="I903" s="6"/>
      <c r="J903" s="6"/>
      <c r="K903" s="5"/>
      <c r="L903" s="24"/>
      <c r="M903" s="31" t="str">
        <f t="shared" si="13"/>
        <v/>
      </c>
      <c r="N903" s="7" t="str">
        <f t="shared" si="14"/>
        <v/>
      </c>
      <c r="O903" s="8" t="str">
        <f>IF(J903="","",M903/L903)</f>
        <v/>
      </c>
      <c r="P903" s="9" t="str">
        <f>IF(O903="","",(O903/(N903)*365))</f>
        <v/>
      </c>
      <c r="Q903" s="10"/>
    </row>
    <row r="904" spans="1:17" x14ac:dyDescent="0.15">
      <c r="A904" s="21"/>
      <c r="B904" s="20"/>
      <c r="C904" s="20"/>
      <c r="D904" s="20"/>
      <c r="E904" s="20"/>
      <c r="F904" s="21"/>
      <c r="G904" s="22"/>
      <c r="H904" s="11"/>
      <c r="I904" s="15"/>
      <c r="J904" s="15"/>
      <c r="K904" s="14"/>
      <c r="L904" s="22"/>
      <c r="M904" s="32" t="str">
        <f t="shared" si="13"/>
        <v/>
      </c>
      <c r="N904" s="16" t="str">
        <f t="shared" si="14"/>
        <v/>
      </c>
      <c r="O904" s="17" t="str">
        <f>IF(J904="","",M904/L904)</f>
        <v/>
      </c>
      <c r="P904" s="18" t="str">
        <f>IF(O904="","",(O904/(N904)*365))</f>
        <v/>
      </c>
      <c r="Q904" s="19"/>
    </row>
    <row r="905" spans="1:17" x14ac:dyDescent="0.15">
      <c r="A905" s="23"/>
      <c r="B905" s="3"/>
      <c r="C905" s="3"/>
      <c r="D905" s="3"/>
      <c r="E905" s="3"/>
      <c r="F905" s="23"/>
      <c r="G905" s="24"/>
      <c r="H905" s="1"/>
      <c r="I905" s="6"/>
      <c r="J905" s="6"/>
      <c r="K905" s="5"/>
      <c r="L905" s="24"/>
      <c r="M905" s="31" t="str">
        <f t="shared" si="13"/>
        <v/>
      </c>
      <c r="N905" s="7" t="str">
        <f t="shared" si="14"/>
        <v/>
      </c>
      <c r="O905" s="8" t="str">
        <f>IF(J905="","",M905/L905)</f>
        <v/>
      </c>
      <c r="P905" s="9" t="str">
        <f>IF(O905="","",(O905/(N905)*365))</f>
        <v/>
      </c>
      <c r="Q905" s="10"/>
    </row>
    <row r="906" spans="1:17" x14ac:dyDescent="0.15">
      <c r="A906" s="21"/>
      <c r="B906" s="20"/>
      <c r="C906" s="20"/>
      <c r="D906" s="20"/>
      <c r="E906" s="20"/>
      <c r="F906" s="21"/>
      <c r="G906" s="22"/>
      <c r="H906" s="11"/>
      <c r="I906" s="15"/>
      <c r="J906" s="15"/>
      <c r="K906" s="14"/>
      <c r="L906" s="22"/>
      <c r="M906" s="32" t="str">
        <f t="shared" si="13"/>
        <v/>
      </c>
      <c r="N906" s="16" t="str">
        <f t="shared" si="14"/>
        <v/>
      </c>
      <c r="O906" s="17" t="str">
        <f>IF(J906="","",M906/L906)</f>
        <v/>
      </c>
      <c r="P906" s="18" t="str">
        <f>IF(O906="","",(O906/(N906)*365))</f>
        <v/>
      </c>
      <c r="Q906" s="19"/>
    </row>
    <row r="907" spans="1:17" x14ac:dyDescent="0.15">
      <c r="A907" s="23"/>
      <c r="B907" s="3"/>
      <c r="C907" s="3"/>
      <c r="D907" s="3"/>
      <c r="E907" s="3"/>
      <c r="F907" s="23"/>
      <c r="G907" s="24"/>
      <c r="H907" s="1"/>
      <c r="I907" s="6"/>
      <c r="J907" s="6"/>
      <c r="K907" s="5"/>
      <c r="L907" s="24"/>
      <c r="M907" s="31" t="str">
        <f t="shared" si="13"/>
        <v/>
      </c>
      <c r="N907" s="7" t="str">
        <f t="shared" si="14"/>
        <v/>
      </c>
      <c r="O907" s="8" t="str">
        <f>IF(J907="","",M907/L907)</f>
        <v/>
      </c>
      <c r="P907" s="9" t="str">
        <f>IF(O907="","",(O907/(N907)*365))</f>
        <v/>
      </c>
      <c r="Q907" s="10"/>
    </row>
    <row r="908" spans="1:17" x14ac:dyDescent="0.15">
      <c r="A908" s="21"/>
      <c r="B908" s="20"/>
      <c r="C908" s="20"/>
      <c r="D908" s="20"/>
      <c r="E908" s="20"/>
      <c r="F908" s="21"/>
      <c r="G908" s="22"/>
      <c r="H908" s="11"/>
      <c r="I908" s="15"/>
      <c r="J908" s="15"/>
      <c r="K908" s="14"/>
      <c r="L908" s="22"/>
      <c r="M908" s="32" t="str">
        <f t="shared" si="13"/>
        <v/>
      </c>
      <c r="N908" s="16" t="str">
        <f t="shared" si="14"/>
        <v/>
      </c>
      <c r="O908" s="17" t="str">
        <f>IF(J908="","",M908/L908)</f>
        <v/>
      </c>
      <c r="P908" s="18" t="str">
        <f>IF(O908="","",(O908/(N908)*365))</f>
        <v/>
      </c>
      <c r="Q908" s="19"/>
    </row>
    <row r="909" spans="1:17" x14ac:dyDescent="0.15">
      <c r="A909" s="23"/>
      <c r="B909" s="3"/>
      <c r="C909" s="3"/>
      <c r="D909" s="3"/>
      <c r="E909" s="3"/>
      <c r="F909" s="23"/>
      <c r="G909" s="24"/>
      <c r="H909" s="1"/>
      <c r="I909" s="6"/>
      <c r="J909" s="6"/>
      <c r="K909" s="5"/>
      <c r="L909" s="24"/>
      <c r="M909" s="31" t="str">
        <f t="shared" si="13"/>
        <v/>
      </c>
      <c r="N909" s="7" t="str">
        <f t="shared" si="14"/>
        <v/>
      </c>
      <c r="O909" s="8" t="str">
        <f>IF(J909="","",M909/L909)</f>
        <v/>
      </c>
      <c r="P909" s="9" t="str">
        <f>IF(O909="","",(O909/(N909)*365))</f>
        <v/>
      </c>
      <c r="Q909" s="10"/>
    </row>
    <row r="910" spans="1:17" x14ac:dyDescent="0.15">
      <c r="A910" s="21"/>
      <c r="B910" s="20"/>
      <c r="C910" s="20"/>
      <c r="D910" s="20"/>
      <c r="E910" s="20"/>
      <c r="F910" s="21"/>
      <c r="G910" s="22"/>
      <c r="H910" s="11"/>
      <c r="I910" s="15"/>
      <c r="J910" s="15"/>
      <c r="K910" s="14"/>
      <c r="L910" s="22"/>
      <c r="M910" s="32" t="str">
        <f t="shared" si="13"/>
        <v/>
      </c>
      <c r="N910" s="16" t="str">
        <f t="shared" si="14"/>
        <v/>
      </c>
      <c r="O910" s="17" t="str">
        <f>IF(J910="","",M910/L910)</f>
        <v/>
      </c>
      <c r="P910" s="18" t="str">
        <f>IF(O910="","",(O910/(N910)*365))</f>
        <v/>
      </c>
      <c r="Q910" s="19"/>
    </row>
    <row r="911" spans="1:17" x14ac:dyDescent="0.15">
      <c r="A911" s="23"/>
      <c r="B911" s="3"/>
      <c r="C911" s="3"/>
      <c r="D911" s="3"/>
      <c r="E911" s="3"/>
      <c r="F911" s="23"/>
      <c r="G911" s="24"/>
      <c r="H911" s="1"/>
      <c r="I911" s="6"/>
      <c r="J911" s="6"/>
      <c r="K911" s="5"/>
      <c r="L911" s="24"/>
      <c r="M911" s="31" t="str">
        <f t="shared" si="13"/>
        <v/>
      </c>
      <c r="N911" s="7" t="str">
        <f t="shared" si="14"/>
        <v/>
      </c>
      <c r="O911" s="8" t="str">
        <f>IF(J911="","",M911/L911)</f>
        <v/>
      </c>
      <c r="P911" s="9" t="str">
        <f>IF(O911="","",(O911/(N911)*365))</f>
        <v/>
      </c>
      <c r="Q911" s="10"/>
    </row>
    <row r="912" spans="1:17" x14ac:dyDescent="0.15">
      <c r="A912" s="21"/>
      <c r="B912" s="20"/>
      <c r="C912" s="20"/>
      <c r="D912" s="20"/>
      <c r="E912" s="20"/>
      <c r="F912" s="21"/>
      <c r="G912" s="22"/>
      <c r="H912" s="11"/>
      <c r="I912" s="15"/>
      <c r="J912" s="15"/>
      <c r="K912" s="14"/>
      <c r="L912" s="22"/>
      <c r="M912" s="32" t="str">
        <f t="shared" si="13"/>
        <v/>
      </c>
      <c r="N912" s="16" t="str">
        <f t="shared" si="14"/>
        <v/>
      </c>
      <c r="O912" s="17" t="str">
        <f>IF(J912="","",M912/L912)</f>
        <v/>
      </c>
      <c r="P912" s="18" t="str">
        <f>IF(O912="","",(O912/(N912)*365))</f>
        <v/>
      </c>
      <c r="Q912" s="19"/>
    </row>
    <row r="913" spans="1:17" x14ac:dyDescent="0.15">
      <c r="A913" s="23"/>
      <c r="B913" s="3"/>
      <c r="C913" s="3"/>
      <c r="D913" s="3"/>
      <c r="E913" s="3"/>
      <c r="F913" s="23"/>
      <c r="G913" s="24"/>
      <c r="H913" s="1"/>
      <c r="I913" s="6"/>
      <c r="J913" s="6"/>
      <c r="K913" s="5"/>
      <c r="L913" s="24"/>
      <c r="M913" s="31" t="str">
        <f t="shared" si="13"/>
        <v/>
      </c>
      <c r="N913" s="7" t="str">
        <f t="shared" si="14"/>
        <v/>
      </c>
      <c r="O913" s="8" t="str">
        <f>IF(J913="","",M913/L913)</f>
        <v/>
      </c>
      <c r="P913" s="9" t="str">
        <f>IF(O913="","",(O913/(N913)*365))</f>
        <v/>
      </c>
      <c r="Q913" s="10"/>
    </row>
    <row r="914" spans="1:17" x14ac:dyDescent="0.15">
      <c r="A914" s="21"/>
      <c r="B914" s="20"/>
      <c r="C914" s="20"/>
      <c r="D914" s="20"/>
      <c r="E914" s="20"/>
      <c r="F914" s="21"/>
      <c r="G914" s="22"/>
      <c r="H914" s="11"/>
      <c r="I914" s="15"/>
      <c r="J914" s="15"/>
      <c r="K914" s="14"/>
      <c r="L914" s="22"/>
      <c r="M914" s="32" t="str">
        <f t="shared" si="13"/>
        <v/>
      </c>
      <c r="N914" s="16" t="str">
        <f t="shared" si="14"/>
        <v/>
      </c>
      <c r="O914" s="17" t="str">
        <f>IF(J914="","",M914/L914)</f>
        <v/>
      </c>
      <c r="P914" s="18" t="str">
        <f>IF(O914="","",(O914/(N914)*365))</f>
        <v/>
      </c>
      <c r="Q914" s="19"/>
    </row>
    <row r="915" spans="1:17" x14ac:dyDescent="0.15">
      <c r="A915" s="23"/>
      <c r="B915" s="3"/>
      <c r="C915" s="3"/>
      <c r="D915" s="3"/>
      <c r="E915" s="3"/>
      <c r="F915" s="23"/>
      <c r="G915" s="24"/>
      <c r="H915" s="1"/>
      <c r="I915" s="6"/>
      <c r="J915" s="6"/>
      <c r="K915" s="5"/>
      <c r="L915" s="24"/>
      <c r="M915" s="31" t="str">
        <f t="shared" si="13"/>
        <v/>
      </c>
      <c r="N915" s="7" t="str">
        <f t="shared" si="14"/>
        <v/>
      </c>
      <c r="O915" s="8" t="str">
        <f>IF(J915="","",M915/L915)</f>
        <v/>
      </c>
      <c r="P915" s="9" t="str">
        <f>IF(O915="","",(O915/(N915)*365))</f>
        <v/>
      </c>
      <c r="Q915" s="10"/>
    </row>
    <row r="916" spans="1:17" x14ac:dyDescent="0.15">
      <c r="A916" s="21"/>
      <c r="B916" s="20"/>
      <c r="C916" s="20"/>
      <c r="D916" s="20"/>
      <c r="E916" s="20"/>
      <c r="F916" s="21"/>
      <c r="G916" s="22"/>
      <c r="H916" s="11"/>
      <c r="I916" s="15"/>
      <c r="J916" s="15"/>
      <c r="K916" s="14"/>
      <c r="L916" s="22"/>
      <c r="M916" s="32" t="str">
        <f t="shared" si="13"/>
        <v/>
      </c>
      <c r="N916" s="16" t="str">
        <f t="shared" si="14"/>
        <v/>
      </c>
      <c r="O916" s="17" t="str">
        <f>IF(J916="","",M916/L916)</f>
        <v/>
      </c>
      <c r="P916" s="18" t="str">
        <f>IF(O916="","",(O916/(N916)*365))</f>
        <v/>
      </c>
      <c r="Q916" s="19"/>
    </row>
    <row r="917" spans="1:17" x14ac:dyDescent="0.15">
      <c r="A917" s="23"/>
      <c r="B917" s="3"/>
      <c r="C917" s="3"/>
      <c r="D917" s="3"/>
      <c r="E917" s="3"/>
      <c r="F917" s="23"/>
      <c r="G917" s="24"/>
      <c r="H917" s="1"/>
      <c r="I917" s="6"/>
      <c r="J917" s="6"/>
      <c r="K917" s="5"/>
      <c r="L917" s="24"/>
      <c r="M917" s="31" t="str">
        <f t="shared" si="13"/>
        <v/>
      </c>
      <c r="N917" s="7" t="str">
        <f t="shared" si="14"/>
        <v/>
      </c>
      <c r="O917" s="8" t="str">
        <f>IF(J917="","",M917/L917)</f>
        <v/>
      </c>
      <c r="P917" s="9" t="str">
        <f>IF(O917="","",(O917/(N917)*365))</f>
        <v/>
      </c>
      <c r="Q917" s="10"/>
    </row>
    <row r="918" spans="1:17" x14ac:dyDescent="0.15">
      <c r="A918" s="21"/>
      <c r="B918" s="20"/>
      <c r="C918" s="20"/>
      <c r="D918" s="20"/>
      <c r="E918" s="20"/>
      <c r="F918" s="21"/>
      <c r="G918" s="22"/>
      <c r="H918" s="11"/>
      <c r="I918" s="15"/>
      <c r="J918" s="15"/>
      <c r="K918" s="14"/>
      <c r="L918" s="22"/>
      <c r="M918" s="32" t="str">
        <f t="shared" si="13"/>
        <v/>
      </c>
      <c r="N918" s="16" t="str">
        <f t="shared" si="14"/>
        <v/>
      </c>
      <c r="O918" s="17" t="str">
        <f>IF(J918="","",M918/L918)</f>
        <v/>
      </c>
      <c r="P918" s="18" t="str">
        <f>IF(O918="","",(O918/(N918)*365))</f>
        <v/>
      </c>
      <c r="Q918" s="27"/>
    </row>
    <row r="919" spans="1:17" x14ac:dyDescent="0.15">
      <c r="A919" s="23"/>
      <c r="B919" s="3"/>
      <c r="C919" s="3"/>
      <c r="D919" s="3"/>
      <c r="E919" s="3"/>
      <c r="F919" s="23"/>
      <c r="G919" s="24"/>
      <c r="H919" s="1"/>
      <c r="I919" s="6"/>
      <c r="J919" s="6"/>
      <c r="K919" s="5"/>
      <c r="L919" s="24"/>
      <c r="M919" s="31" t="str">
        <f t="shared" si="13"/>
        <v/>
      </c>
      <c r="N919" s="7" t="str">
        <f t="shared" si="14"/>
        <v/>
      </c>
      <c r="O919" s="8" t="str">
        <f>IF(J919="","",M919/L919)</f>
        <v/>
      </c>
      <c r="P919" s="9" t="str">
        <f>IF(O919="","",(O919/(N919)*365))</f>
        <v/>
      </c>
      <c r="Q919" s="10"/>
    </row>
    <row r="920" spans="1:17" x14ac:dyDescent="0.15">
      <c r="A920" s="21"/>
      <c r="B920" s="20"/>
      <c r="C920" s="20"/>
      <c r="D920" s="20"/>
      <c r="E920" s="20"/>
      <c r="F920" s="21"/>
      <c r="G920" s="22"/>
      <c r="H920" s="11"/>
      <c r="I920" s="15"/>
      <c r="J920" s="15"/>
      <c r="K920" s="14"/>
      <c r="L920" s="22"/>
      <c r="M920" s="32" t="str">
        <f t="shared" si="13"/>
        <v/>
      </c>
      <c r="N920" s="16" t="str">
        <f t="shared" si="14"/>
        <v/>
      </c>
      <c r="O920" s="17" t="str">
        <f>IF(J920="","",M920/L920)</f>
        <v/>
      </c>
      <c r="P920" s="18" t="str">
        <f>IF(O920="","",(O920/(N920)*365))</f>
        <v/>
      </c>
      <c r="Q920" s="19"/>
    </row>
    <row r="921" spans="1:17" x14ac:dyDescent="0.15">
      <c r="A921" s="23"/>
      <c r="B921" s="3"/>
      <c r="C921" s="3"/>
      <c r="D921" s="3"/>
      <c r="E921" s="3"/>
      <c r="F921" s="23"/>
      <c r="G921" s="24"/>
      <c r="H921" s="1"/>
      <c r="I921" s="6"/>
      <c r="J921" s="6"/>
      <c r="K921" s="5"/>
      <c r="L921" s="24"/>
      <c r="M921" s="31" t="str">
        <f t="shared" si="13"/>
        <v/>
      </c>
      <c r="N921" s="7" t="str">
        <f t="shared" si="14"/>
        <v/>
      </c>
      <c r="O921" s="8" t="str">
        <f>IF(J921="","",M921/L921)</f>
        <v/>
      </c>
      <c r="P921" s="9" t="str">
        <f>IF(O921="","",(O921/(N921)*365))</f>
        <v/>
      </c>
      <c r="Q921" s="10"/>
    </row>
    <row r="922" spans="1:17" x14ac:dyDescent="0.15">
      <c r="A922" s="21"/>
      <c r="B922" s="20"/>
      <c r="C922" s="20"/>
      <c r="D922" s="20"/>
      <c r="E922" s="20"/>
      <c r="F922" s="21"/>
      <c r="G922" s="22"/>
      <c r="H922" s="11"/>
      <c r="I922" s="15"/>
      <c r="J922" s="15"/>
      <c r="K922" s="14"/>
      <c r="L922" s="22"/>
      <c r="M922" s="32" t="str">
        <f t="shared" si="13"/>
        <v/>
      </c>
      <c r="N922" s="16" t="str">
        <f t="shared" si="14"/>
        <v/>
      </c>
      <c r="O922" s="17" t="str">
        <f>IF(J922="","",M922/L922)</f>
        <v/>
      </c>
      <c r="P922" s="18" t="str">
        <f>IF(O922="","",(O922/(N922)*365))</f>
        <v/>
      </c>
      <c r="Q922" s="19"/>
    </row>
    <row r="923" spans="1:17" x14ac:dyDescent="0.15">
      <c r="A923" s="23"/>
      <c r="B923" s="3"/>
      <c r="C923" s="3"/>
      <c r="D923" s="3"/>
      <c r="E923" s="3"/>
      <c r="F923" s="23"/>
      <c r="G923" s="24"/>
      <c r="H923" s="1"/>
      <c r="I923" s="6"/>
      <c r="J923" s="6"/>
      <c r="K923" s="5"/>
      <c r="L923" s="24"/>
      <c r="M923" s="31" t="str">
        <f t="shared" si="13"/>
        <v/>
      </c>
      <c r="N923" s="7" t="str">
        <f t="shared" si="14"/>
        <v/>
      </c>
      <c r="O923" s="8" t="str">
        <f>IF(J923="","",M923/L923)</f>
        <v/>
      </c>
      <c r="P923" s="9" t="str">
        <f>IF(O923="","",(O923/(N923)*365))</f>
        <v/>
      </c>
      <c r="Q923" s="10"/>
    </row>
    <row r="924" spans="1:17" x14ac:dyDescent="0.15">
      <c r="A924" s="21"/>
      <c r="B924" s="20"/>
      <c r="C924" s="20"/>
      <c r="D924" s="20"/>
      <c r="E924" s="20"/>
      <c r="F924" s="21"/>
      <c r="G924" s="22"/>
      <c r="H924" s="11"/>
      <c r="I924" s="15"/>
      <c r="J924" s="15"/>
      <c r="K924" s="14"/>
      <c r="L924" s="22"/>
      <c r="M924" s="32" t="str">
        <f t="shared" si="13"/>
        <v/>
      </c>
      <c r="N924" s="16" t="str">
        <f t="shared" si="14"/>
        <v/>
      </c>
      <c r="O924" s="17" t="str">
        <f>IF(J924="","",M924/L924)</f>
        <v/>
      </c>
      <c r="P924" s="18" t="str">
        <f>IF(O924="","",(O924/(N924)*365))</f>
        <v/>
      </c>
      <c r="Q924" s="19"/>
    </row>
    <row r="925" spans="1:17" x14ac:dyDescent="0.15">
      <c r="A925" s="23"/>
      <c r="B925" s="3"/>
      <c r="C925" s="3"/>
      <c r="D925" s="3"/>
      <c r="E925" s="3"/>
      <c r="F925" s="23"/>
      <c r="G925" s="24"/>
      <c r="H925" s="1"/>
      <c r="I925" s="6"/>
      <c r="J925" s="6"/>
      <c r="K925" s="5"/>
      <c r="L925" s="24"/>
      <c r="M925" s="31" t="str">
        <f t="shared" si="13"/>
        <v/>
      </c>
      <c r="N925" s="7" t="str">
        <f t="shared" si="14"/>
        <v/>
      </c>
      <c r="O925" s="8" t="str">
        <f>IF(J925="","",M925/L925)</f>
        <v/>
      </c>
      <c r="P925" s="9" t="str">
        <f>IF(O925="","",(O925/(N925)*365))</f>
        <v/>
      </c>
      <c r="Q925" s="10"/>
    </row>
    <row r="926" spans="1:17" x14ac:dyDescent="0.15">
      <c r="A926" s="21"/>
      <c r="B926" s="20"/>
      <c r="C926" s="20"/>
      <c r="D926" s="20"/>
      <c r="E926" s="20"/>
      <c r="F926" s="21"/>
      <c r="G926" s="22"/>
      <c r="H926" s="11"/>
      <c r="I926" s="15"/>
      <c r="J926" s="15"/>
      <c r="K926" s="14"/>
      <c r="L926" s="22"/>
      <c r="M926" s="32" t="str">
        <f t="shared" si="13"/>
        <v/>
      </c>
      <c r="N926" s="16" t="str">
        <f t="shared" si="14"/>
        <v/>
      </c>
      <c r="O926" s="17" t="str">
        <f>IF(J926="","",M926/L926)</f>
        <v/>
      </c>
      <c r="P926" s="18" t="str">
        <f>IF(O926="","",(O926/(N926)*365))</f>
        <v/>
      </c>
      <c r="Q926" s="19"/>
    </row>
    <row r="927" spans="1:17" x14ac:dyDescent="0.15">
      <c r="A927" s="23"/>
      <c r="B927" s="3"/>
      <c r="C927" s="3"/>
      <c r="D927" s="3"/>
      <c r="E927" s="3"/>
      <c r="F927" s="23"/>
      <c r="G927" s="24"/>
      <c r="H927" s="1"/>
      <c r="I927" s="6"/>
      <c r="J927" s="6"/>
      <c r="K927" s="5"/>
      <c r="L927" s="24"/>
      <c r="M927" s="31" t="str">
        <f t="shared" si="13"/>
        <v/>
      </c>
      <c r="N927" s="7" t="str">
        <f t="shared" si="14"/>
        <v/>
      </c>
      <c r="O927" s="8" t="str">
        <f>IF(J927="","",M927/L927)</f>
        <v/>
      </c>
      <c r="P927" s="9" t="str">
        <f>IF(O927="","",(O927/(N927)*365))</f>
        <v/>
      </c>
      <c r="Q927" s="10"/>
    </row>
    <row r="928" spans="1:17" x14ac:dyDescent="0.15">
      <c r="A928" s="21"/>
      <c r="B928" s="20"/>
      <c r="C928" s="20"/>
      <c r="D928" s="20"/>
      <c r="E928" s="20"/>
      <c r="F928" s="21"/>
      <c r="G928" s="22"/>
      <c r="H928" s="11"/>
      <c r="I928" s="15"/>
      <c r="J928" s="15"/>
      <c r="K928" s="14"/>
      <c r="L928" s="22"/>
      <c r="M928" s="32" t="str">
        <f t="shared" si="13"/>
        <v/>
      </c>
      <c r="N928" s="16" t="str">
        <f t="shared" si="14"/>
        <v/>
      </c>
      <c r="O928" s="17" t="str">
        <f>IF(J928="","",M928/L928)</f>
        <v/>
      </c>
      <c r="P928" s="18" t="str">
        <f>IF(O928="","",(O928/(N928)*365))</f>
        <v/>
      </c>
      <c r="Q928" s="19"/>
    </row>
    <row r="929" spans="1:17" x14ac:dyDescent="0.15">
      <c r="A929" s="23"/>
      <c r="B929" s="3"/>
      <c r="C929" s="3"/>
      <c r="D929" s="3"/>
      <c r="E929" s="3"/>
      <c r="F929" s="23"/>
      <c r="G929" s="24"/>
      <c r="H929" s="1"/>
      <c r="I929" s="6"/>
      <c r="J929" s="6"/>
      <c r="K929" s="5"/>
      <c r="L929" s="24"/>
      <c r="M929" s="31" t="str">
        <f t="shared" si="13"/>
        <v/>
      </c>
      <c r="N929" s="7" t="str">
        <f t="shared" si="14"/>
        <v/>
      </c>
      <c r="O929" s="8" t="str">
        <f>IF(J929="","",M929/L929)</f>
        <v/>
      </c>
      <c r="P929" s="9" t="str">
        <f>IF(O929="","",(O929/(N929)*365))</f>
        <v/>
      </c>
      <c r="Q929" s="10"/>
    </row>
    <row r="930" spans="1:17" x14ac:dyDescent="0.15">
      <c r="A930" s="21"/>
      <c r="B930" s="20"/>
      <c r="C930" s="20"/>
      <c r="D930" s="20"/>
      <c r="E930" s="20"/>
      <c r="F930" s="21"/>
      <c r="G930" s="22"/>
      <c r="H930" s="11"/>
      <c r="I930" s="15"/>
      <c r="J930" s="15"/>
      <c r="K930" s="14"/>
      <c r="L930" s="22"/>
      <c r="M930" s="32" t="str">
        <f t="shared" si="13"/>
        <v/>
      </c>
      <c r="N930" s="16" t="str">
        <f t="shared" si="14"/>
        <v/>
      </c>
      <c r="O930" s="17" t="str">
        <f>IF(J930="","",M930/L930)</f>
        <v/>
      </c>
      <c r="P930" s="18" t="str">
        <f>IF(O930="","",(O930/(N930)*365))</f>
        <v/>
      </c>
      <c r="Q930" s="19"/>
    </row>
    <row r="931" spans="1:17" x14ac:dyDescent="0.15">
      <c r="A931" s="23"/>
      <c r="B931" s="3"/>
      <c r="C931" s="3"/>
      <c r="D931" s="3"/>
      <c r="E931" s="3"/>
      <c r="F931" s="23"/>
      <c r="G931" s="24"/>
      <c r="H931" s="1"/>
      <c r="I931" s="6"/>
      <c r="J931" s="6"/>
      <c r="K931" s="5"/>
      <c r="L931" s="24"/>
      <c r="M931" s="31" t="str">
        <f t="shared" si="13"/>
        <v/>
      </c>
      <c r="N931" s="7" t="str">
        <f t="shared" si="14"/>
        <v/>
      </c>
      <c r="O931" s="8" t="str">
        <f>IF(J931="","",M931/L931)</f>
        <v/>
      </c>
      <c r="P931" s="9" t="str">
        <f>IF(O931="","",(O931/(N931)*365))</f>
        <v/>
      </c>
      <c r="Q931" s="10"/>
    </row>
    <row r="932" spans="1:17" x14ac:dyDescent="0.15">
      <c r="A932" s="21"/>
      <c r="B932" s="20"/>
      <c r="C932" s="20"/>
      <c r="D932" s="20"/>
      <c r="E932" s="20"/>
      <c r="F932" s="21"/>
      <c r="G932" s="22"/>
      <c r="H932" s="11"/>
      <c r="I932" s="15"/>
      <c r="J932" s="15"/>
      <c r="K932" s="14"/>
      <c r="L932" s="22"/>
      <c r="M932" s="32" t="str">
        <f t="shared" si="13"/>
        <v/>
      </c>
      <c r="N932" s="16" t="str">
        <f t="shared" si="14"/>
        <v/>
      </c>
      <c r="O932" s="17" t="str">
        <f>IF(J932="","",M932/L932)</f>
        <v/>
      </c>
      <c r="P932" s="18" t="str">
        <f>IF(O932="","",(O932/(N932)*365))</f>
        <v/>
      </c>
      <c r="Q932" s="19"/>
    </row>
    <row r="933" spans="1:17" x14ac:dyDescent="0.15">
      <c r="A933" s="23"/>
      <c r="B933" s="3"/>
      <c r="C933" s="3"/>
      <c r="D933" s="3"/>
      <c r="E933" s="3"/>
      <c r="F933" s="23"/>
      <c r="G933" s="24"/>
      <c r="H933" s="1"/>
      <c r="I933" s="6"/>
      <c r="J933" s="6"/>
      <c r="K933" s="5"/>
      <c r="L933" s="24"/>
      <c r="M933" s="31" t="str">
        <f t="shared" si="13"/>
        <v/>
      </c>
      <c r="N933" s="7" t="str">
        <f t="shared" si="14"/>
        <v/>
      </c>
      <c r="O933" s="8" t="str">
        <f>IF(J933="","",M933/L933)</f>
        <v/>
      </c>
      <c r="P933" s="9" t="str">
        <f>IF(O933="","",(O933/(N933)*365))</f>
        <v/>
      </c>
      <c r="Q933" s="10"/>
    </row>
    <row r="934" spans="1:17" x14ac:dyDescent="0.15">
      <c r="A934" s="21"/>
      <c r="B934" s="20"/>
      <c r="C934" s="20"/>
      <c r="D934" s="20"/>
      <c r="E934" s="20"/>
      <c r="F934" s="21"/>
      <c r="G934" s="22"/>
      <c r="H934" s="11"/>
      <c r="I934" s="15"/>
      <c r="J934" s="15"/>
      <c r="K934" s="14"/>
      <c r="L934" s="22"/>
      <c r="M934" s="32" t="str">
        <f t="shared" si="13"/>
        <v/>
      </c>
      <c r="N934" s="16" t="str">
        <f t="shared" si="14"/>
        <v/>
      </c>
      <c r="O934" s="17" t="str">
        <f>IF(J934="","",M934/L934)</f>
        <v/>
      </c>
      <c r="P934" s="18" t="str">
        <f>IF(O934="","",(O934/(N934)*365))</f>
        <v/>
      </c>
      <c r="Q934" s="19"/>
    </row>
    <row r="935" spans="1:17" x14ac:dyDescent="0.15">
      <c r="A935" s="23"/>
      <c r="B935" s="3"/>
      <c r="C935" s="3"/>
      <c r="D935" s="3"/>
      <c r="E935" s="3"/>
      <c r="F935" s="23"/>
      <c r="G935" s="24"/>
      <c r="H935" s="1"/>
      <c r="I935" s="6"/>
      <c r="J935" s="6"/>
      <c r="K935" s="5"/>
      <c r="L935" s="24"/>
      <c r="M935" s="31" t="str">
        <f t="shared" si="13"/>
        <v/>
      </c>
      <c r="N935" s="7" t="str">
        <f t="shared" si="14"/>
        <v/>
      </c>
      <c r="O935" s="8" t="str">
        <f>IF(J935="","",M935/L935)</f>
        <v/>
      </c>
      <c r="P935" s="9" t="str">
        <f>IF(O935="","",(O935/(N935)*365))</f>
        <v/>
      </c>
      <c r="Q935" s="10"/>
    </row>
    <row r="936" spans="1:17" x14ac:dyDescent="0.15">
      <c r="A936" s="21"/>
      <c r="B936" s="20"/>
      <c r="C936" s="20"/>
      <c r="D936" s="20"/>
      <c r="E936" s="20"/>
      <c r="F936" s="21"/>
      <c r="G936" s="22"/>
      <c r="H936" s="11"/>
      <c r="I936" s="15"/>
      <c r="J936" s="15"/>
      <c r="K936" s="14"/>
      <c r="L936" s="22"/>
      <c r="M936" s="32" t="str">
        <f t="shared" si="13"/>
        <v/>
      </c>
      <c r="N936" s="16" t="str">
        <f t="shared" si="14"/>
        <v/>
      </c>
      <c r="O936" s="17" t="str">
        <f>IF(J936="","",M936/L936)</f>
        <v/>
      </c>
      <c r="P936" s="18" t="str">
        <f>IF(O936="","",(O936/(N936)*365))</f>
        <v/>
      </c>
      <c r="Q936" s="19"/>
    </row>
    <row r="937" spans="1:17" x14ac:dyDescent="0.15">
      <c r="A937" s="23"/>
      <c r="B937" s="3"/>
      <c r="C937" s="3"/>
      <c r="D937" s="3"/>
      <c r="E937" s="3"/>
      <c r="F937" s="23"/>
      <c r="G937" s="24"/>
      <c r="H937" s="1"/>
      <c r="I937" s="6"/>
      <c r="J937" s="6"/>
      <c r="K937" s="5"/>
      <c r="L937" s="24"/>
      <c r="M937" s="31" t="str">
        <f t="shared" si="13"/>
        <v/>
      </c>
      <c r="N937" s="7" t="str">
        <f t="shared" si="14"/>
        <v/>
      </c>
      <c r="O937" s="8" t="str">
        <f>IF(J937="","",M937/L937)</f>
        <v/>
      </c>
      <c r="P937" s="9" t="str">
        <f>IF(O937="","",(O937/(N937)*365))</f>
        <v/>
      </c>
      <c r="Q937" s="10"/>
    </row>
    <row r="938" spans="1:17" x14ac:dyDescent="0.15">
      <c r="A938" s="21"/>
      <c r="B938" s="20"/>
      <c r="C938" s="20"/>
      <c r="D938" s="20"/>
      <c r="E938" s="20"/>
      <c r="F938" s="21"/>
      <c r="G938" s="22"/>
      <c r="H938" s="11"/>
      <c r="I938" s="15"/>
      <c r="J938" s="15"/>
      <c r="K938" s="14"/>
      <c r="L938" s="22"/>
      <c r="M938" s="32" t="str">
        <f t="shared" si="13"/>
        <v/>
      </c>
      <c r="N938" s="16" t="str">
        <f t="shared" si="14"/>
        <v/>
      </c>
      <c r="O938" s="17" t="str">
        <f>IF(J938="","",M938/L938)</f>
        <v/>
      </c>
      <c r="P938" s="18" t="str">
        <f>IF(O938="","",(O938/(N938)*365))</f>
        <v/>
      </c>
      <c r="Q938" s="19"/>
    </row>
    <row r="939" spans="1:17" x14ac:dyDescent="0.15">
      <c r="A939" s="23"/>
      <c r="B939" s="3"/>
      <c r="C939" s="3"/>
      <c r="D939" s="3"/>
      <c r="E939" s="3"/>
      <c r="F939" s="23"/>
      <c r="G939" s="24"/>
      <c r="H939" s="1"/>
      <c r="I939" s="6"/>
      <c r="J939" s="6"/>
      <c r="K939" s="5"/>
      <c r="L939" s="24"/>
      <c r="M939" s="31" t="str">
        <f t="shared" si="13"/>
        <v/>
      </c>
      <c r="N939" s="7" t="str">
        <f t="shared" si="14"/>
        <v/>
      </c>
      <c r="O939" s="8" t="str">
        <f>IF(J939="","",M939/L939)</f>
        <v/>
      </c>
      <c r="P939" s="9" t="str">
        <f>IF(O939="","",(O939/(N939)*365))</f>
        <v/>
      </c>
      <c r="Q939" s="10"/>
    </row>
    <row r="940" spans="1:17" x14ac:dyDescent="0.15">
      <c r="A940" s="21"/>
      <c r="B940" s="20"/>
      <c r="C940" s="20"/>
      <c r="D940" s="20"/>
      <c r="E940" s="20"/>
      <c r="F940" s="21"/>
      <c r="G940" s="22"/>
      <c r="H940" s="11"/>
      <c r="I940" s="15"/>
      <c r="J940" s="15"/>
      <c r="K940" s="14"/>
      <c r="L940" s="22"/>
      <c r="M940" s="32" t="str">
        <f t="shared" si="13"/>
        <v/>
      </c>
      <c r="N940" s="16" t="str">
        <f t="shared" si="14"/>
        <v/>
      </c>
      <c r="O940" s="17" t="str">
        <f>IF(J940="","",M940/L940)</f>
        <v/>
      </c>
      <c r="P940" s="18" t="str">
        <f>IF(O940="","",(O940/(N940)*365))</f>
        <v/>
      </c>
      <c r="Q940" s="19"/>
    </row>
    <row r="941" spans="1:17" x14ac:dyDescent="0.15">
      <c r="A941" s="23"/>
      <c r="B941" s="3"/>
      <c r="C941" s="3"/>
      <c r="D941" s="3"/>
      <c r="E941" s="3"/>
      <c r="F941" s="23"/>
      <c r="G941" s="24"/>
      <c r="H941" s="1"/>
      <c r="I941" s="6"/>
      <c r="J941" s="6"/>
      <c r="K941" s="5"/>
      <c r="L941" s="24"/>
      <c r="M941" s="31" t="str">
        <f t="shared" si="13"/>
        <v/>
      </c>
      <c r="N941" s="7" t="str">
        <f t="shared" si="14"/>
        <v/>
      </c>
      <c r="O941" s="8" t="str">
        <f>IF(J941="","",M941/L941)</f>
        <v/>
      </c>
      <c r="P941" s="9" t="str">
        <f>IF(O941="","",(O941/(N941)*365))</f>
        <v/>
      </c>
      <c r="Q941" s="10"/>
    </row>
    <row r="942" spans="1:17" x14ac:dyDescent="0.15">
      <c r="A942" s="21"/>
      <c r="B942" s="20"/>
      <c r="C942" s="20"/>
      <c r="D942" s="20"/>
      <c r="E942" s="20"/>
      <c r="F942" s="21"/>
      <c r="G942" s="22"/>
      <c r="H942" s="11"/>
      <c r="I942" s="15"/>
      <c r="J942" s="15"/>
      <c r="K942" s="14"/>
      <c r="L942" s="22"/>
      <c r="M942" s="32" t="str">
        <f t="shared" si="13"/>
        <v/>
      </c>
      <c r="N942" s="16" t="str">
        <f t="shared" si="14"/>
        <v/>
      </c>
      <c r="O942" s="17" t="str">
        <f>IF(J942="","",M942/L942)</f>
        <v/>
      </c>
      <c r="P942" s="18" t="str">
        <f>IF(O942="","",(O942/(N942)*365))</f>
        <v/>
      </c>
      <c r="Q942" s="19"/>
    </row>
    <row r="943" spans="1:17" x14ac:dyDescent="0.15">
      <c r="A943" s="23"/>
      <c r="B943" s="3"/>
      <c r="C943" s="3"/>
      <c r="D943" s="3"/>
      <c r="E943" s="3"/>
      <c r="F943" s="23"/>
      <c r="G943" s="24"/>
      <c r="H943" s="1"/>
      <c r="I943" s="6"/>
      <c r="J943" s="6"/>
      <c r="K943" s="5"/>
      <c r="L943" s="24"/>
      <c r="M943" s="31" t="str">
        <f t="shared" si="13"/>
        <v/>
      </c>
      <c r="N943" s="7" t="str">
        <f t="shared" si="14"/>
        <v/>
      </c>
      <c r="O943" s="8" t="str">
        <f>IF(J943="","",M943/L943)</f>
        <v/>
      </c>
      <c r="P943" s="9" t="str">
        <f>IF(O943="","",(O943/(N943)*365))</f>
        <v/>
      </c>
      <c r="Q943" s="10"/>
    </row>
    <row r="944" spans="1:17" x14ac:dyDescent="0.15">
      <c r="A944" s="21"/>
      <c r="B944" s="20"/>
      <c r="C944" s="20"/>
      <c r="D944" s="20"/>
      <c r="E944" s="20"/>
      <c r="F944" s="21"/>
      <c r="G944" s="22"/>
      <c r="H944" s="11"/>
      <c r="I944" s="15"/>
      <c r="J944" s="15"/>
      <c r="K944" s="14"/>
      <c r="L944" s="22"/>
      <c r="M944" s="32" t="str">
        <f t="shared" si="13"/>
        <v/>
      </c>
      <c r="N944" s="16" t="str">
        <f t="shared" si="14"/>
        <v/>
      </c>
      <c r="O944" s="17" t="str">
        <f>IF(J944="","",M944/L944)</f>
        <v/>
      </c>
      <c r="P944" s="18" t="str">
        <f>IF(O944="","",(O944/(N944)*365))</f>
        <v/>
      </c>
      <c r="Q944" s="19"/>
    </row>
    <row r="945" spans="1:17" x14ac:dyDescent="0.15">
      <c r="A945" s="23"/>
      <c r="B945" s="3"/>
      <c r="C945" s="3"/>
      <c r="D945" s="3"/>
      <c r="E945" s="3"/>
      <c r="F945" s="23"/>
      <c r="G945" s="24"/>
      <c r="H945" s="1"/>
      <c r="I945" s="6"/>
      <c r="J945" s="6"/>
      <c r="K945" s="5"/>
      <c r="L945" s="24"/>
      <c r="M945" s="31" t="str">
        <f t="shared" si="13"/>
        <v/>
      </c>
      <c r="N945" s="7" t="str">
        <f t="shared" si="14"/>
        <v/>
      </c>
      <c r="O945" s="8" t="str">
        <f>IF(J945="","",M945/L945)</f>
        <v/>
      </c>
      <c r="P945" s="9" t="str">
        <f>IF(O945="","",(O945/(N945)*365))</f>
        <v/>
      </c>
      <c r="Q945" s="10"/>
    </row>
    <row r="946" spans="1:17" x14ac:dyDescent="0.15">
      <c r="A946" s="21"/>
      <c r="B946" s="20"/>
      <c r="C946" s="20"/>
      <c r="D946" s="20"/>
      <c r="E946" s="20"/>
      <c r="F946" s="21"/>
      <c r="G946" s="22"/>
      <c r="H946" s="11"/>
      <c r="I946" s="15"/>
      <c r="J946" s="15"/>
      <c r="K946" s="14"/>
      <c r="L946" s="22"/>
      <c r="M946" s="32" t="str">
        <f t="shared" si="13"/>
        <v/>
      </c>
      <c r="N946" s="16" t="str">
        <f t="shared" si="14"/>
        <v/>
      </c>
      <c r="O946" s="17" t="str">
        <f>IF(J946="","",M946/L946)</f>
        <v/>
      </c>
      <c r="P946" s="18" t="str">
        <f>IF(O946="","",(O946/(N946)*365))</f>
        <v/>
      </c>
      <c r="Q946" s="19"/>
    </row>
    <row r="947" spans="1:17" x14ac:dyDescent="0.15">
      <c r="A947" s="23"/>
      <c r="B947" s="3"/>
      <c r="C947" s="3"/>
      <c r="D947" s="3"/>
      <c r="E947" s="3"/>
      <c r="F947" s="23"/>
      <c r="G947" s="24"/>
      <c r="H947" s="1"/>
      <c r="I947" s="6"/>
      <c r="J947" s="6"/>
      <c r="K947" s="5"/>
      <c r="L947" s="24"/>
      <c r="M947" s="31" t="str">
        <f t="shared" si="13"/>
        <v/>
      </c>
      <c r="N947" s="7" t="str">
        <f t="shared" si="14"/>
        <v/>
      </c>
      <c r="O947" s="8" t="str">
        <f>IF(J947="","",M947/L947)</f>
        <v/>
      </c>
      <c r="P947" s="9" t="str">
        <f>IF(O947="","",(O947/(N947)*365))</f>
        <v/>
      </c>
      <c r="Q947" s="10"/>
    </row>
    <row r="948" spans="1:17" x14ac:dyDescent="0.15">
      <c r="A948" s="21"/>
      <c r="B948" s="20"/>
      <c r="C948" s="20"/>
      <c r="D948" s="20"/>
      <c r="E948" s="20"/>
      <c r="F948" s="21"/>
      <c r="G948" s="22"/>
      <c r="H948" s="11"/>
      <c r="I948" s="15"/>
      <c r="J948" s="15"/>
      <c r="K948" s="14"/>
      <c r="L948" s="22"/>
      <c r="M948" s="32" t="str">
        <f t="shared" si="13"/>
        <v/>
      </c>
      <c r="N948" s="16" t="str">
        <f t="shared" si="14"/>
        <v/>
      </c>
      <c r="O948" s="17" t="str">
        <f>IF(J948="","",M948/L948)</f>
        <v/>
      </c>
      <c r="P948" s="18" t="str">
        <f>IF(O948="","",(O948/(N948)*365))</f>
        <v/>
      </c>
      <c r="Q948" s="19"/>
    </row>
    <row r="949" spans="1:17" x14ac:dyDescent="0.15">
      <c r="A949" s="23"/>
      <c r="B949" s="3"/>
      <c r="C949" s="3"/>
      <c r="D949" s="3"/>
      <c r="E949" s="3"/>
      <c r="F949" s="23"/>
      <c r="G949" s="24"/>
      <c r="H949" s="1"/>
      <c r="I949" s="6"/>
      <c r="J949" s="6"/>
      <c r="K949" s="5"/>
      <c r="L949" s="24"/>
      <c r="M949" s="31" t="str">
        <f t="shared" si="13"/>
        <v/>
      </c>
      <c r="N949" s="7" t="str">
        <f t="shared" si="14"/>
        <v/>
      </c>
      <c r="O949" s="8" t="str">
        <f>IF(J949="","",M949/L949)</f>
        <v/>
      </c>
      <c r="P949" s="9" t="str">
        <f>IF(O949="","",(O949/(N949)*365))</f>
        <v/>
      </c>
      <c r="Q949" s="10"/>
    </row>
    <row r="950" spans="1:17" x14ac:dyDescent="0.15">
      <c r="A950" s="21"/>
      <c r="B950" s="20"/>
      <c r="C950" s="20"/>
      <c r="D950" s="20"/>
      <c r="E950" s="20"/>
      <c r="F950" s="21"/>
      <c r="G950" s="22"/>
      <c r="H950" s="11"/>
      <c r="I950" s="15"/>
      <c r="J950" s="15"/>
      <c r="K950" s="14"/>
      <c r="L950" s="22"/>
      <c r="M950" s="32" t="str">
        <f t="shared" si="13"/>
        <v/>
      </c>
      <c r="N950" s="16" t="str">
        <f t="shared" si="14"/>
        <v/>
      </c>
      <c r="O950" s="17" t="str">
        <f>IF(J950="","",M950/L950)</f>
        <v/>
      </c>
      <c r="P950" s="18" t="str">
        <f>IF(O950="","",(O950/(N950)*365))</f>
        <v/>
      </c>
      <c r="Q950" s="19"/>
    </row>
    <row r="951" spans="1:17" x14ac:dyDescent="0.15">
      <c r="A951" s="23"/>
      <c r="B951" s="3"/>
      <c r="C951" s="3"/>
      <c r="D951" s="3"/>
      <c r="E951" s="3"/>
      <c r="F951" s="23"/>
      <c r="G951" s="24"/>
      <c r="H951" s="1"/>
      <c r="I951" s="6"/>
      <c r="J951" s="6"/>
      <c r="K951" s="5"/>
      <c r="L951" s="24"/>
      <c r="M951" s="31" t="str">
        <f t="shared" si="13"/>
        <v/>
      </c>
      <c r="N951" s="7" t="str">
        <f t="shared" si="14"/>
        <v/>
      </c>
      <c r="O951" s="8" t="str">
        <f>IF(J951="","",M951/L951)</f>
        <v/>
      </c>
      <c r="P951" s="9" t="str">
        <f>IF(O951="","",(O951/(N951)*365))</f>
        <v/>
      </c>
      <c r="Q951" s="10"/>
    </row>
    <row r="952" spans="1:17" x14ac:dyDescent="0.15">
      <c r="A952" s="21"/>
      <c r="B952" s="20"/>
      <c r="C952" s="20"/>
      <c r="D952" s="20"/>
      <c r="E952" s="20"/>
      <c r="F952" s="21"/>
      <c r="G952" s="22"/>
      <c r="H952" s="11"/>
      <c r="I952" s="15"/>
      <c r="J952" s="15"/>
      <c r="K952" s="14"/>
      <c r="L952" s="22"/>
      <c r="M952" s="32" t="str">
        <f t="shared" si="13"/>
        <v/>
      </c>
      <c r="N952" s="16" t="str">
        <f t="shared" si="14"/>
        <v/>
      </c>
      <c r="O952" s="17" t="str">
        <f>IF(J952="","",M952/L952)</f>
        <v/>
      </c>
      <c r="P952" s="18" t="str">
        <f>IF(O952="","",(O952/(N952)*365))</f>
        <v/>
      </c>
      <c r="Q952" s="19"/>
    </row>
    <row r="953" spans="1:17" x14ac:dyDescent="0.15">
      <c r="A953" s="23"/>
      <c r="B953" s="3"/>
      <c r="C953" s="3"/>
      <c r="D953" s="3"/>
      <c r="E953" s="3"/>
      <c r="F953" s="23"/>
      <c r="G953" s="24"/>
      <c r="H953" s="1"/>
      <c r="I953" s="6"/>
      <c r="J953" s="6"/>
      <c r="K953" s="5"/>
      <c r="L953" s="24"/>
      <c r="M953" s="31" t="str">
        <f t="shared" si="13"/>
        <v/>
      </c>
      <c r="N953" s="7" t="str">
        <f t="shared" si="14"/>
        <v/>
      </c>
      <c r="O953" s="8" t="str">
        <f>IF(J953="","",M953/L953)</f>
        <v/>
      </c>
      <c r="P953" s="9" t="str">
        <f>IF(O953="","",(O953/(N953)*365))</f>
        <v/>
      </c>
      <c r="Q953" s="10"/>
    </row>
    <row r="954" spans="1:17" x14ac:dyDescent="0.15">
      <c r="A954" s="21"/>
      <c r="B954" s="20"/>
      <c r="C954" s="20"/>
      <c r="D954" s="20"/>
      <c r="E954" s="20"/>
      <c r="F954" s="21"/>
      <c r="G954" s="22"/>
      <c r="H954" s="11"/>
      <c r="I954" s="15"/>
      <c r="J954" s="15"/>
      <c r="K954" s="14"/>
      <c r="L954" s="22"/>
      <c r="M954" s="32" t="str">
        <f t="shared" si="13"/>
        <v/>
      </c>
      <c r="N954" s="16" t="str">
        <f t="shared" si="14"/>
        <v/>
      </c>
      <c r="O954" s="17" t="str">
        <f>IF(J954="","",M954/L954)</f>
        <v/>
      </c>
      <c r="P954" s="18" t="str">
        <f>IF(O954="","",(O954/(N954)*365))</f>
        <v/>
      </c>
      <c r="Q954" s="19"/>
    </row>
    <row r="955" spans="1:17" x14ac:dyDescent="0.15">
      <c r="A955" s="23"/>
      <c r="B955" s="3"/>
      <c r="C955" s="3"/>
      <c r="D955" s="3"/>
      <c r="E955" s="3"/>
      <c r="F955" s="23"/>
      <c r="G955" s="24"/>
      <c r="H955" s="1"/>
      <c r="I955" s="6"/>
      <c r="J955" s="6"/>
      <c r="K955" s="5"/>
      <c r="L955" s="24"/>
      <c r="M955" s="31" t="str">
        <f t="shared" si="13"/>
        <v/>
      </c>
      <c r="N955" s="7" t="str">
        <f t="shared" si="14"/>
        <v/>
      </c>
      <c r="O955" s="8" t="str">
        <f>IF(J955="","",M955/L955)</f>
        <v/>
      </c>
      <c r="P955" s="9" t="str">
        <f>IF(O955="","",(O955/(N955)*365))</f>
        <v/>
      </c>
      <c r="Q955" s="10"/>
    </row>
    <row r="956" spans="1:17" x14ac:dyDescent="0.15">
      <c r="A956" s="21"/>
      <c r="B956" s="20"/>
      <c r="C956" s="20"/>
      <c r="D956" s="20"/>
      <c r="E956" s="20"/>
      <c r="F956" s="21"/>
      <c r="G956" s="22"/>
      <c r="H956" s="11"/>
      <c r="I956" s="15"/>
      <c r="J956" s="15"/>
      <c r="K956" s="14"/>
      <c r="L956" s="22"/>
      <c r="M956" s="32" t="str">
        <f t="shared" si="13"/>
        <v/>
      </c>
      <c r="N956" s="16" t="str">
        <f t="shared" si="14"/>
        <v/>
      </c>
      <c r="O956" s="17" t="str">
        <f>IF(J956="","",M956/L956)</f>
        <v/>
      </c>
      <c r="P956" s="18" t="str">
        <f>IF(O956="","",(O956/(N956)*365))</f>
        <v/>
      </c>
      <c r="Q956" s="19"/>
    </row>
    <row r="957" spans="1:17" x14ac:dyDescent="0.15">
      <c r="A957" s="23"/>
      <c r="B957" s="3"/>
      <c r="C957" s="3"/>
      <c r="D957" s="3"/>
      <c r="E957" s="3"/>
      <c r="F957" s="23"/>
      <c r="G957" s="24"/>
      <c r="H957" s="1"/>
      <c r="I957" s="6"/>
      <c r="J957" s="6"/>
      <c r="K957" s="5"/>
      <c r="L957" s="24"/>
      <c r="M957" s="31" t="str">
        <f t="shared" si="13"/>
        <v/>
      </c>
      <c r="N957" s="7" t="str">
        <f t="shared" si="14"/>
        <v/>
      </c>
      <c r="O957" s="8" t="str">
        <f>IF(J957="","",M957/L957)</f>
        <v/>
      </c>
      <c r="P957" s="9" t="str">
        <f>IF(O957="","",(O957/(N957)*365))</f>
        <v/>
      </c>
      <c r="Q957" s="10"/>
    </row>
    <row r="958" spans="1:17" x14ac:dyDescent="0.15">
      <c r="A958" s="21"/>
      <c r="B958" s="20"/>
      <c r="C958" s="20"/>
      <c r="D958" s="20"/>
      <c r="E958" s="20"/>
      <c r="F958" s="21"/>
      <c r="G958" s="22"/>
      <c r="H958" s="11"/>
      <c r="I958" s="15"/>
      <c r="J958" s="15"/>
      <c r="K958" s="14"/>
      <c r="L958" s="22"/>
      <c r="M958" s="32" t="str">
        <f t="shared" si="13"/>
        <v/>
      </c>
      <c r="N958" s="16" t="str">
        <f t="shared" si="14"/>
        <v/>
      </c>
      <c r="O958" s="17" t="str">
        <f>IF(J958="","",M958/L958)</f>
        <v/>
      </c>
      <c r="P958" s="18" t="str">
        <f>IF(O958="","",(O958/(N958)*365))</f>
        <v/>
      </c>
      <c r="Q958" s="19"/>
    </row>
    <row r="959" spans="1:17" x14ac:dyDescent="0.15">
      <c r="A959" s="23"/>
      <c r="B959" s="3"/>
      <c r="C959" s="3"/>
      <c r="D959" s="3"/>
      <c r="E959" s="3"/>
      <c r="F959" s="23"/>
      <c r="G959" s="24"/>
      <c r="H959" s="1"/>
      <c r="I959" s="6"/>
      <c r="J959" s="6"/>
      <c r="K959" s="5"/>
      <c r="L959" s="24"/>
      <c r="M959" s="31" t="str">
        <f t="shared" si="13"/>
        <v/>
      </c>
      <c r="N959" s="7" t="str">
        <f t="shared" si="14"/>
        <v/>
      </c>
      <c r="O959" s="8" t="str">
        <f>IF(J959="","",M959/L959)</f>
        <v/>
      </c>
      <c r="P959" s="9" t="str">
        <f>IF(O959="","",(O959/(N959)*365))</f>
        <v/>
      </c>
      <c r="Q959" s="10"/>
    </row>
    <row r="960" spans="1:17" x14ac:dyDescent="0.15">
      <c r="A960" s="21"/>
      <c r="B960" s="20"/>
      <c r="C960" s="20"/>
      <c r="D960" s="20"/>
      <c r="E960" s="20"/>
      <c r="F960" s="21"/>
      <c r="G960" s="22"/>
      <c r="H960" s="11"/>
      <c r="I960" s="15"/>
      <c r="J960" s="15"/>
      <c r="K960" s="14"/>
      <c r="L960" s="22"/>
      <c r="M960" s="32" t="str">
        <f t="shared" si="13"/>
        <v/>
      </c>
      <c r="N960" s="16" t="str">
        <f t="shared" si="14"/>
        <v/>
      </c>
      <c r="O960" s="17" t="str">
        <f>IF(J960="","",M960/L960)</f>
        <v/>
      </c>
      <c r="P960" s="18" t="str">
        <f>IF(O960="","",(O960/(N960)*365))</f>
        <v/>
      </c>
      <c r="Q960" s="19"/>
    </row>
    <row r="961" spans="1:17" x14ac:dyDescent="0.15">
      <c r="A961" s="23"/>
      <c r="B961" s="3"/>
      <c r="C961" s="3"/>
      <c r="D961" s="3"/>
      <c r="E961" s="3"/>
      <c r="F961" s="23"/>
      <c r="G961" s="24"/>
      <c r="H961" s="1"/>
      <c r="I961" s="6"/>
      <c r="J961" s="6"/>
      <c r="K961" s="5"/>
      <c r="L961" s="24"/>
      <c r="M961" s="31" t="str">
        <f t="shared" si="13"/>
        <v/>
      </c>
      <c r="N961" s="7" t="str">
        <f t="shared" si="14"/>
        <v/>
      </c>
      <c r="O961" s="8" t="str">
        <f>IF(J961="","",M961/L961)</f>
        <v/>
      </c>
      <c r="P961" s="9" t="str">
        <f>IF(O961="","",(O961/(N961)*365))</f>
        <v/>
      </c>
      <c r="Q961" s="10"/>
    </row>
    <row r="962" spans="1:17" x14ac:dyDescent="0.15">
      <c r="A962" s="21"/>
      <c r="B962" s="20"/>
      <c r="C962" s="20"/>
      <c r="D962" s="20"/>
      <c r="E962" s="20"/>
      <c r="F962" s="21"/>
      <c r="G962" s="22"/>
      <c r="H962" s="11"/>
      <c r="I962" s="15"/>
      <c r="J962" s="15"/>
      <c r="K962" s="14"/>
      <c r="L962" s="22"/>
      <c r="M962" s="32" t="str">
        <f t="shared" si="13"/>
        <v/>
      </c>
      <c r="N962" s="16" t="str">
        <f t="shared" si="14"/>
        <v/>
      </c>
      <c r="O962" s="17" t="str">
        <f>IF(J962="","",M962/L962)</f>
        <v/>
      </c>
      <c r="P962" s="18" t="str">
        <f>IF(O962="","",(O962/(N962)*365))</f>
        <v/>
      </c>
      <c r="Q962" s="19"/>
    </row>
    <row r="963" spans="1:17" x14ac:dyDescent="0.15">
      <c r="A963" s="23"/>
      <c r="B963" s="3"/>
      <c r="C963" s="3"/>
      <c r="D963" s="3"/>
      <c r="E963" s="3"/>
      <c r="F963" s="23"/>
      <c r="G963" s="24"/>
      <c r="H963" s="1"/>
      <c r="I963" s="6"/>
      <c r="J963" s="6"/>
      <c r="K963" s="5"/>
      <c r="L963" s="24"/>
      <c r="M963" s="31" t="str">
        <f t="shared" si="13"/>
        <v/>
      </c>
      <c r="N963" s="7" t="str">
        <f t="shared" si="14"/>
        <v/>
      </c>
      <c r="O963" s="8" t="str">
        <f>IF(J963="","",M963/L963)</f>
        <v/>
      </c>
      <c r="P963" s="9" t="str">
        <f>IF(O963="","",(O963/(N963)*365))</f>
        <v/>
      </c>
      <c r="Q963" s="10"/>
    </row>
    <row r="964" spans="1:17" x14ac:dyDescent="0.15">
      <c r="A964" s="21"/>
      <c r="B964" s="20"/>
      <c r="C964" s="20"/>
      <c r="D964" s="20"/>
      <c r="E964" s="20"/>
      <c r="F964" s="21"/>
      <c r="G964" s="22"/>
      <c r="H964" s="11"/>
      <c r="I964" s="15"/>
      <c r="J964" s="15"/>
      <c r="K964" s="14"/>
      <c r="L964" s="22"/>
      <c r="M964" s="32" t="str">
        <f t="shared" si="13"/>
        <v/>
      </c>
      <c r="N964" s="16" t="str">
        <f t="shared" si="14"/>
        <v/>
      </c>
      <c r="O964" s="17" t="str">
        <f>IF(J964="","",M964/L964)</f>
        <v/>
      </c>
      <c r="P964" s="18" t="str">
        <f>IF(O964="","",(O964/(N964)*365))</f>
        <v/>
      </c>
      <c r="Q964" s="19"/>
    </row>
    <row r="965" spans="1:17" x14ac:dyDescent="0.15">
      <c r="A965" s="23"/>
      <c r="B965" s="3"/>
      <c r="C965" s="3"/>
      <c r="D965" s="3"/>
      <c r="E965" s="3"/>
      <c r="F965" s="23"/>
      <c r="G965" s="24"/>
      <c r="H965" s="1"/>
      <c r="I965" s="6"/>
      <c r="J965" s="6"/>
      <c r="K965" s="5"/>
      <c r="L965" s="24"/>
      <c r="M965" s="31" t="str">
        <f t="shared" si="13"/>
        <v/>
      </c>
      <c r="N965" s="7" t="str">
        <f t="shared" si="14"/>
        <v/>
      </c>
      <c r="O965" s="8" t="str">
        <f>IF(J965="","",M965/L965)</f>
        <v/>
      </c>
      <c r="P965" s="9" t="str">
        <f>IF(O965="","",(O965/(N965)*365))</f>
        <v/>
      </c>
      <c r="Q965" s="10"/>
    </row>
    <row r="966" spans="1:17" x14ac:dyDescent="0.15">
      <c r="A966" s="21"/>
      <c r="B966" s="20"/>
      <c r="C966" s="20"/>
      <c r="D966" s="20"/>
      <c r="E966" s="20"/>
      <c r="F966" s="21"/>
      <c r="G966" s="22"/>
      <c r="H966" s="11"/>
      <c r="I966" s="15"/>
      <c r="J966" s="15"/>
      <c r="K966" s="14"/>
      <c r="L966" s="22"/>
      <c r="M966" s="32" t="str">
        <f t="shared" si="13"/>
        <v/>
      </c>
      <c r="N966" s="16" t="str">
        <f t="shared" si="14"/>
        <v/>
      </c>
      <c r="O966" s="17" t="str">
        <f>IF(J966="","",M966/L966)</f>
        <v/>
      </c>
      <c r="P966" s="18" t="str">
        <f>IF(O966="","",(O966/(N966)*365))</f>
        <v/>
      </c>
      <c r="Q966" s="19"/>
    </row>
    <row r="967" spans="1:17" x14ac:dyDescent="0.15">
      <c r="A967" s="23"/>
      <c r="B967" s="3"/>
      <c r="C967" s="3"/>
      <c r="D967" s="3"/>
      <c r="E967" s="3"/>
      <c r="F967" s="23"/>
      <c r="G967" s="24"/>
      <c r="H967" s="1"/>
      <c r="I967" s="6"/>
      <c r="J967" s="6"/>
      <c r="K967" s="5"/>
      <c r="L967" s="24"/>
      <c r="M967" s="31" t="str">
        <f t="shared" si="13"/>
        <v/>
      </c>
      <c r="N967" s="7" t="str">
        <f t="shared" si="14"/>
        <v/>
      </c>
      <c r="O967" s="8" t="str">
        <f>IF(J967="","",M967/L967)</f>
        <v/>
      </c>
      <c r="P967" s="9" t="str">
        <f>IF(O967="","",(O967/(N967)*365))</f>
        <v/>
      </c>
      <c r="Q967" s="10"/>
    </row>
    <row r="968" spans="1:17" x14ac:dyDescent="0.15">
      <c r="A968" s="21"/>
      <c r="B968" s="20"/>
      <c r="C968" s="20"/>
      <c r="D968" s="20"/>
      <c r="E968" s="20"/>
      <c r="F968" s="21"/>
      <c r="G968" s="22"/>
      <c r="H968" s="11"/>
      <c r="I968" s="15"/>
      <c r="J968" s="15"/>
      <c r="K968" s="14"/>
      <c r="L968" s="22"/>
      <c r="M968" s="32" t="str">
        <f t="shared" si="13"/>
        <v/>
      </c>
      <c r="N968" s="16" t="str">
        <f t="shared" si="14"/>
        <v/>
      </c>
      <c r="O968" s="17" t="str">
        <f>IF(J968="","",M968/L968)</f>
        <v/>
      </c>
      <c r="P968" s="18" t="str">
        <f>IF(O968="","",(O968/(N968)*365))</f>
        <v/>
      </c>
      <c r="Q968" s="19"/>
    </row>
    <row r="969" spans="1:17" x14ac:dyDescent="0.15">
      <c r="A969" s="23"/>
      <c r="B969" s="3"/>
      <c r="C969" s="3"/>
      <c r="D969" s="3"/>
      <c r="E969" s="3"/>
      <c r="F969" s="23"/>
      <c r="G969" s="24"/>
      <c r="H969" s="1"/>
      <c r="I969" s="6"/>
      <c r="J969" s="6"/>
      <c r="K969" s="5"/>
      <c r="L969" s="24"/>
      <c r="M969" s="31" t="str">
        <f t="shared" si="13"/>
        <v/>
      </c>
      <c r="N969" s="7" t="str">
        <f t="shared" si="14"/>
        <v/>
      </c>
      <c r="O969" s="8" t="str">
        <f>IF(J969="","",M969/L969)</f>
        <v/>
      </c>
      <c r="P969" s="9" t="str">
        <f>IF(O969="","",(O969/(N969)*365))</f>
        <v/>
      </c>
      <c r="Q969" s="10"/>
    </row>
    <row r="970" spans="1:17" x14ac:dyDescent="0.15">
      <c r="A970" s="21"/>
      <c r="B970" s="20"/>
      <c r="C970" s="20"/>
      <c r="D970" s="20"/>
      <c r="E970" s="20"/>
      <c r="F970" s="21"/>
      <c r="G970" s="22"/>
      <c r="H970" s="11"/>
      <c r="I970" s="15"/>
      <c r="J970" s="15"/>
      <c r="K970" s="14"/>
      <c r="L970" s="22"/>
      <c r="M970" s="32" t="str">
        <f t="shared" si="13"/>
        <v/>
      </c>
      <c r="N970" s="16" t="str">
        <f t="shared" si="14"/>
        <v/>
      </c>
      <c r="O970" s="17" t="str">
        <f>IF(J970="","",M970/L970)</f>
        <v/>
      </c>
      <c r="P970" s="18" t="str">
        <f>IF(O970="","",(O970/(N970)*365))</f>
        <v/>
      </c>
      <c r="Q970" s="19"/>
    </row>
    <row r="971" spans="1:17" x14ac:dyDescent="0.15">
      <c r="A971" s="23"/>
      <c r="B971" s="3"/>
      <c r="C971" s="3"/>
      <c r="D971" s="3"/>
      <c r="E971" s="3"/>
      <c r="F971" s="23"/>
      <c r="G971" s="24"/>
      <c r="H971" s="1"/>
      <c r="I971" s="6"/>
      <c r="J971" s="6"/>
      <c r="K971" s="5"/>
      <c r="L971" s="24"/>
      <c r="M971" s="31" t="str">
        <f t="shared" si="13"/>
        <v/>
      </c>
      <c r="N971" s="7" t="str">
        <f t="shared" si="14"/>
        <v/>
      </c>
      <c r="O971" s="8" t="str">
        <f>IF(J971="","",M971/L971)</f>
        <v/>
      </c>
      <c r="P971" s="9" t="str">
        <f>IF(O971="","",(O971/(N971)*365))</f>
        <v/>
      </c>
      <c r="Q971" s="10"/>
    </row>
    <row r="972" spans="1:17" x14ac:dyDescent="0.15">
      <c r="A972" s="21"/>
      <c r="B972" s="20"/>
      <c r="C972" s="20"/>
      <c r="D972" s="20"/>
      <c r="E972" s="20"/>
      <c r="F972" s="21"/>
      <c r="G972" s="22"/>
      <c r="H972" s="11"/>
      <c r="I972" s="15"/>
      <c r="J972" s="15"/>
      <c r="K972" s="14"/>
      <c r="L972" s="22"/>
      <c r="M972" s="32" t="str">
        <f t="shared" si="13"/>
        <v/>
      </c>
      <c r="N972" s="16" t="str">
        <f t="shared" si="14"/>
        <v/>
      </c>
      <c r="O972" s="17" t="str">
        <f>IF(J972="","",M972/L972)</f>
        <v/>
      </c>
      <c r="P972" s="18" t="str">
        <f>IF(O972="","",(O972/(N972)*365))</f>
        <v/>
      </c>
      <c r="Q972" s="19"/>
    </row>
    <row r="973" spans="1:17" x14ac:dyDescent="0.15">
      <c r="A973" s="23"/>
      <c r="B973" s="3"/>
      <c r="C973" s="3"/>
      <c r="D973" s="3"/>
      <c r="E973" s="3"/>
      <c r="F973" s="23"/>
      <c r="G973" s="24"/>
      <c r="H973" s="1"/>
      <c r="I973" s="6"/>
      <c r="J973" s="6"/>
      <c r="K973" s="5"/>
      <c r="L973" s="24"/>
      <c r="M973" s="31" t="str">
        <f t="shared" si="13"/>
        <v/>
      </c>
      <c r="N973" s="7" t="str">
        <f t="shared" si="14"/>
        <v/>
      </c>
      <c r="O973" s="8" t="str">
        <f>IF(J973="","",M973/L973)</f>
        <v/>
      </c>
      <c r="P973" s="9" t="str">
        <f>IF(O973="","",(O973/(N973)*365))</f>
        <v/>
      </c>
      <c r="Q973" s="10"/>
    </row>
    <row r="974" spans="1:17" x14ac:dyDescent="0.15">
      <c r="A974" s="21"/>
      <c r="B974" s="20"/>
      <c r="C974" s="20"/>
      <c r="D974" s="20"/>
      <c r="E974" s="20"/>
      <c r="F974" s="21"/>
      <c r="G974" s="22"/>
      <c r="H974" s="11"/>
      <c r="I974" s="15"/>
      <c r="J974" s="15"/>
      <c r="K974" s="14"/>
      <c r="L974" s="22"/>
      <c r="M974" s="32" t="str">
        <f t="shared" si="13"/>
        <v/>
      </c>
      <c r="N974" s="16" t="str">
        <f t="shared" si="14"/>
        <v/>
      </c>
      <c r="O974" s="17" t="str">
        <f>IF(J974="","",M974/L974)</f>
        <v/>
      </c>
      <c r="P974" s="18" t="str">
        <f>IF(O974="","",(O974/(N974)*365))</f>
        <v/>
      </c>
      <c r="Q974" s="19"/>
    </row>
    <row r="975" spans="1:17" x14ac:dyDescent="0.15">
      <c r="A975" s="23"/>
      <c r="B975" s="3"/>
      <c r="C975" s="3"/>
      <c r="D975" s="3"/>
      <c r="E975" s="3"/>
      <c r="F975" s="23"/>
      <c r="G975" s="24"/>
      <c r="H975" s="1"/>
      <c r="I975" s="6"/>
      <c r="J975" s="6"/>
      <c r="K975" s="5"/>
      <c r="L975" s="24"/>
      <c r="M975" s="31" t="str">
        <f t="shared" si="13"/>
        <v/>
      </c>
      <c r="N975" s="7" t="str">
        <f t="shared" si="14"/>
        <v/>
      </c>
      <c r="O975" s="8" t="str">
        <f>IF(J975="","",M975/L975)</f>
        <v/>
      </c>
      <c r="P975" s="9" t="str">
        <f>IF(O975="","",(O975/(N975)*365))</f>
        <v/>
      </c>
      <c r="Q975" s="10"/>
    </row>
    <row r="976" spans="1:17" x14ac:dyDescent="0.15">
      <c r="A976" s="21"/>
      <c r="B976" s="20"/>
      <c r="C976" s="20"/>
      <c r="D976" s="20"/>
      <c r="E976" s="20"/>
      <c r="F976" s="21"/>
      <c r="G976" s="22"/>
      <c r="H976" s="11"/>
      <c r="I976" s="15"/>
      <c r="J976" s="15"/>
      <c r="K976" s="14"/>
      <c r="L976" s="22"/>
      <c r="M976" s="32" t="str">
        <f t="shared" si="13"/>
        <v/>
      </c>
      <c r="N976" s="16" t="str">
        <f t="shared" si="14"/>
        <v/>
      </c>
      <c r="O976" s="17" t="str">
        <f>IF(J976="","",M976/L976)</f>
        <v/>
      </c>
      <c r="P976" s="18" t="str">
        <f>IF(O976="","",(O976/(N976)*365))</f>
        <v/>
      </c>
      <c r="Q976" s="19"/>
    </row>
    <row r="977" spans="1:17" x14ac:dyDescent="0.15">
      <c r="A977" s="23"/>
      <c r="B977" s="3"/>
      <c r="C977" s="3"/>
      <c r="D977" s="3"/>
      <c r="E977" s="3"/>
      <c r="F977" s="23"/>
      <c r="G977" s="24"/>
      <c r="H977" s="1"/>
      <c r="I977" s="6"/>
      <c r="J977" s="6"/>
      <c r="K977" s="5"/>
      <c r="L977" s="24"/>
      <c r="M977" s="31" t="str">
        <f t="shared" si="13"/>
        <v/>
      </c>
      <c r="N977" s="7" t="str">
        <f t="shared" si="14"/>
        <v/>
      </c>
      <c r="O977" s="8" t="str">
        <f>IF(J977="","",M977/L977)</f>
        <v/>
      </c>
      <c r="P977" s="9" t="str">
        <f>IF(O977="","",(O977/(N977)*365))</f>
        <v/>
      </c>
      <c r="Q977" s="10"/>
    </row>
    <row r="978" spans="1:17" x14ac:dyDescent="0.15">
      <c r="A978" s="21"/>
      <c r="B978" s="20"/>
      <c r="C978" s="20"/>
      <c r="D978" s="20"/>
      <c r="E978" s="20"/>
      <c r="F978" s="21"/>
      <c r="G978" s="22"/>
      <c r="H978" s="11"/>
      <c r="I978" s="15"/>
      <c r="J978" s="15"/>
      <c r="K978" s="14"/>
      <c r="L978" s="22"/>
      <c r="M978" s="32" t="str">
        <f t="shared" si="13"/>
        <v/>
      </c>
      <c r="N978" s="16" t="str">
        <f t="shared" si="14"/>
        <v/>
      </c>
      <c r="O978" s="17" t="str">
        <f>IF(J978="","",M978/L978)</f>
        <v/>
      </c>
      <c r="P978" s="18" t="str">
        <f>IF(O978="","",(O978/(N978)*365))</f>
        <v/>
      </c>
      <c r="Q978" s="19"/>
    </row>
    <row r="979" spans="1:17" x14ac:dyDescent="0.15">
      <c r="A979" s="23"/>
      <c r="B979" s="3"/>
      <c r="C979" s="3"/>
      <c r="D979" s="3"/>
      <c r="E979" s="3"/>
      <c r="F979" s="23"/>
      <c r="G979" s="24"/>
      <c r="H979" s="1"/>
      <c r="I979" s="6"/>
      <c r="J979" s="6"/>
      <c r="K979" s="5"/>
      <c r="L979" s="24"/>
      <c r="M979" s="31" t="str">
        <f t="shared" si="13"/>
        <v/>
      </c>
      <c r="N979" s="7" t="str">
        <f t="shared" si="14"/>
        <v/>
      </c>
      <c r="O979" s="8" t="str">
        <f>IF(J979="","",M979/L979)</f>
        <v/>
      </c>
      <c r="P979" s="9" t="str">
        <f>IF(O979="","",(O979/(N979)*365))</f>
        <v/>
      </c>
      <c r="Q979" s="10"/>
    </row>
    <row r="980" spans="1:17" x14ac:dyDescent="0.15">
      <c r="A980" s="21"/>
      <c r="B980" s="20"/>
      <c r="C980" s="20"/>
      <c r="D980" s="20"/>
      <c r="E980" s="20"/>
      <c r="F980" s="21"/>
      <c r="G980" s="22"/>
      <c r="H980" s="11"/>
      <c r="I980" s="15"/>
      <c r="J980" s="15"/>
      <c r="K980" s="14"/>
      <c r="L980" s="22"/>
      <c r="M980" s="32" t="str">
        <f t="shared" si="13"/>
        <v/>
      </c>
      <c r="N980" s="16" t="str">
        <f t="shared" si="14"/>
        <v/>
      </c>
      <c r="O980" s="17" t="str">
        <f>IF(J980="","",M980/L980)</f>
        <v/>
      </c>
      <c r="P980" s="18" t="str">
        <f>IF(O980="","",(O980/(N980)*365))</f>
        <v/>
      </c>
      <c r="Q980" s="19"/>
    </row>
    <row r="981" spans="1:17" x14ac:dyDescent="0.15">
      <c r="A981" s="23"/>
      <c r="B981" s="3"/>
      <c r="C981" s="3"/>
      <c r="D981" s="3"/>
      <c r="E981" s="3"/>
      <c r="F981" s="23"/>
      <c r="G981" s="24"/>
      <c r="H981" s="1"/>
      <c r="I981" s="6"/>
      <c r="J981" s="6"/>
      <c r="K981" s="5"/>
      <c r="L981" s="24"/>
      <c r="M981" s="31" t="str">
        <f t="shared" si="13"/>
        <v/>
      </c>
      <c r="N981" s="7" t="str">
        <f t="shared" si="14"/>
        <v/>
      </c>
      <c r="O981" s="8" t="str">
        <f>IF(J981="","",M981/L981)</f>
        <v/>
      </c>
      <c r="P981" s="9" t="str">
        <f>IF(O981="","",(O981/(N981)*365))</f>
        <v/>
      </c>
      <c r="Q981" s="10"/>
    </row>
    <row r="982" spans="1:17" x14ac:dyDescent="0.15">
      <c r="A982" s="21"/>
      <c r="B982" s="20"/>
      <c r="C982" s="20"/>
      <c r="D982" s="20"/>
      <c r="E982" s="20"/>
      <c r="F982" s="21"/>
      <c r="G982" s="22"/>
      <c r="H982" s="11"/>
      <c r="I982" s="15"/>
      <c r="J982" s="15"/>
      <c r="K982" s="14"/>
      <c r="L982" s="22"/>
      <c r="M982" s="32" t="str">
        <f t="shared" si="13"/>
        <v/>
      </c>
      <c r="N982" s="16" t="str">
        <f t="shared" si="14"/>
        <v/>
      </c>
      <c r="O982" s="17" t="str">
        <f>IF(J982="","",M982/L982)</f>
        <v/>
      </c>
      <c r="P982" s="18" t="str">
        <f>IF(O982="","",(O982/(N982)*365))</f>
        <v/>
      </c>
      <c r="Q982" s="19"/>
    </row>
    <row r="983" spans="1:17" x14ac:dyDescent="0.15">
      <c r="A983" s="23"/>
      <c r="B983" s="3"/>
      <c r="C983" s="3"/>
      <c r="D983" s="3"/>
      <c r="E983" s="3"/>
      <c r="F983" s="23"/>
      <c r="G983" s="24"/>
      <c r="H983" s="1"/>
      <c r="I983" s="6"/>
      <c r="J983" s="6"/>
      <c r="K983" s="5"/>
      <c r="L983" s="24"/>
      <c r="M983" s="31" t="str">
        <f t="shared" si="13"/>
        <v/>
      </c>
      <c r="N983" s="7" t="str">
        <f t="shared" si="14"/>
        <v/>
      </c>
      <c r="O983" s="8" t="str">
        <f>IF(J983="","",M983/L983)</f>
        <v/>
      </c>
      <c r="P983" s="9" t="str">
        <f>IF(O983="","",(O983/(N983)*365))</f>
        <v/>
      </c>
      <c r="Q983" s="10"/>
    </row>
    <row r="984" spans="1:17" x14ac:dyDescent="0.15">
      <c r="A984" s="21"/>
      <c r="B984" s="20"/>
      <c r="C984" s="20"/>
      <c r="D984" s="20"/>
      <c r="E984" s="20"/>
      <c r="F984" s="21"/>
      <c r="G984" s="22"/>
      <c r="H984" s="11"/>
      <c r="I984" s="15"/>
      <c r="J984" s="15"/>
      <c r="K984" s="14"/>
      <c r="L984" s="22"/>
      <c r="M984" s="32" t="str">
        <f t="shared" si="13"/>
        <v/>
      </c>
      <c r="N984" s="16" t="str">
        <f t="shared" si="14"/>
        <v/>
      </c>
      <c r="O984" s="17" t="str">
        <f>IF(J984="","",M984/L984)</f>
        <v/>
      </c>
      <c r="P984" s="18" t="str">
        <f>IF(O984="","",(O984/(N984)*365))</f>
        <v/>
      </c>
      <c r="Q984" s="19"/>
    </row>
    <row r="985" spans="1:17" x14ac:dyDescent="0.15">
      <c r="A985" s="23"/>
      <c r="B985" s="3"/>
      <c r="C985" s="3"/>
      <c r="D985" s="3"/>
      <c r="E985" s="3"/>
      <c r="F985" s="23"/>
      <c r="G985" s="24"/>
      <c r="H985" s="1"/>
      <c r="I985" s="6"/>
      <c r="J985" s="6"/>
      <c r="K985" s="5"/>
      <c r="L985" s="24"/>
      <c r="M985" s="31" t="str">
        <f t="shared" si="13"/>
        <v/>
      </c>
      <c r="N985" s="7" t="str">
        <f t="shared" si="14"/>
        <v/>
      </c>
      <c r="O985" s="8" t="str">
        <f>IF(J985="","",M985/L985)</f>
        <v/>
      </c>
      <c r="P985" s="9" t="str">
        <f>IF(O985="","",(O985/(N985)*365))</f>
        <v/>
      </c>
      <c r="Q985" s="10"/>
    </row>
    <row r="986" spans="1:17" x14ac:dyDescent="0.15">
      <c r="A986" s="21"/>
      <c r="B986" s="20"/>
      <c r="C986" s="20"/>
      <c r="D986" s="20"/>
      <c r="E986" s="20"/>
      <c r="F986" s="21"/>
      <c r="G986" s="22"/>
      <c r="H986" s="11"/>
      <c r="I986" s="15"/>
      <c r="J986" s="15"/>
      <c r="K986" s="14"/>
      <c r="L986" s="22"/>
      <c r="M986" s="32" t="str">
        <f t="shared" si="13"/>
        <v/>
      </c>
      <c r="N986" s="16" t="str">
        <f t="shared" si="14"/>
        <v/>
      </c>
      <c r="O986" s="17" t="str">
        <f>IF(J986="","",M986/L986)</f>
        <v/>
      </c>
      <c r="P986" s="18" t="str">
        <f>IF(O986="","",(O986/(N986)*365))</f>
        <v/>
      </c>
      <c r="Q986" s="19"/>
    </row>
    <row r="987" spans="1:17" x14ac:dyDescent="0.15">
      <c r="A987" s="23"/>
      <c r="B987" s="3"/>
      <c r="C987" s="3"/>
      <c r="D987" s="3"/>
      <c r="E987" s="3"/>
      <c r="F987" s="23"/>
      <c r="G987" s="24"/>
      <c r="H987" s="1"/>
      <c r="I987" s="6"/>
      <c r="J987" s="6"/>
      <c r="K987" s="5"/>
      <c r="L987" s="24"/>
      <c r="M987" s="31" t="str">
        <f t="shared" si="13"/>
        <v/>
      </c>
      <c r="N987" s="7" t="str">
        <f t="shared" si="14"/>
        <v/>
      </c>
      <c r="O987" s="8" t="str">
        <f>IF(J987="","",M987/L987)</f>
        <v/>
      </c>
      <c r="P987" s="9" t="str">
        <f>IF(O987="","",(O987/(N987)*365))</f>
        <v/>
      </c>
      <c r="Q987" s="10"/>
    </row>
    <row r="988" spans="1:17" x14ac:dyDescent="0.15">
      <c r="A988" s="21"/>
      <c r="B988" s="20"/>
      <c r="C988" s="20"/>
      <c r="D988" s="20"/>
      <c r="E988" s="20"/>
      <c r="F988" s="21"/>
      <c r="G988" s="22"/>
      <c r="H988" s="11"/>
      <c r="I988" s="15"/>
      <c r="J988" s="15"/>
      <c r="K988" s="14"/>
      <c r="L988" s="22"/>
      <c r="M988" s="32" t="str">
        <f t="shared" si="13"/>
        <v/>
      </c>
      <c r="N988" s="16" t="str">
        <f t="shared" si="14"/>
        <v/>
      </c>
      <c r="O988" s="17" t="str">
        <f>IF(J988="","",M988/L988)</f>
        <v/>
      </c>
      <c r="P988" s="18" t="str">
        <f>IF(O988="","",(O988/(N988)*365))</f>
        <v/>
      </c>
      <c r="Q988" s="19"/>
    </row>
    <row r="989" spans="1:17" x14ac:dyDescent="0.15">
      <c r="A989" s="23"/>
      <c r="B989" s="3"/>
      <c r="C989" s="3"/>
      <c r="D989" s="3"/>
      <c r="E989" s="3"/>
      <c r="F989" s="23"/>
      <c r="G989" s="24"/>
      <c r="H989" s="1"/>
      <c r="I989" s="6"/>
      <c r="J989" s="6"/>
      <c r="K989" s="5"/>
      <c r="L989" s="24"/>
      <c r="M989" s="31" t="str">
        <f t="shared" si="13"/>
        <v/>
      </c>
      <c r="N989" s="7" t="str">
        <f t="shared" si="14"/>
        <v/>
      </c>
      <c r="O989" s="8" t="str">
        <f>IF(J989="","",M989/L989)</f>
        <v/>
      </c>
      <c r="P989" s="9" t="str">
        <f>IF(O989="","",(O989/(N989)*365))</f>
        <v/>
      </c>
      <c r="Q989" s="10"/>
    </row>
    <row r="990" spans="1:17" x14ac:dyDescent="0.15">
      <c r="A990" s="21"/>
      <c r="B990" s="20"/>
      <c r="C990" s="20"/>
      <c r="D990" s="20"/>
      <c r="E990" s="20"/>
      <c r="F990" s="21"/>
      <c r="G990" s="22"/>
      <c r="H990" s="11"/>
      <c r="I990" s="15"/>
      <c r="J990" s="15"/>
      <c r="K990" s="14"/>
      <c r="L990" s="22"/>
      <c r="M990" s="32" t="str">
        <f t="shared" si="13"/>
        <v/>
      </c>
      <c r="N990" s="16" t="str">
        <f t="shared" si="14"/>
        <v/>
      </c>
      <c r="O990" s="17" t="str">
        <f>IF(J990="","",M990/L990)</f>
        <v/>
      </c>
      <c r="P990" s="18" t="str">
        <f>IF(O990="","",(O990/(N990)*365))</f>
        <v/>
      </c>
      <c r="Q990" s="19"/>
    </row>
    <row r="991" spans="1:17" x14ac:dyDescent="0.15">
      <c r="A991" s="23"/>
      <c r="B991" s="3"/>
      <c r="C991" s="3"/>
      <c r="D991" s="3"/>
      <c r="E991" s="3"/>
      <c r="F991" s="23"/>
      <c r="G991" s="24"/>
      <c r="H991" s="1"/>
      <c r="I991" s="6"/>
      <c r="J991" s="6"/>
      <c r="K991" s="5"/>
      <c r="L991" s="24"/>
      <c r="M991" s="31" t="str">
        <f t="shared" si="13"/>
        <v/>
      </c>
      <c r="N991" s="7" t="str">
        <f t="shared" si="14"/>
        <v/>
      </c>
      <c r="O991" s="8" t="str">
        <f>IF(J991="","",M991/L991)</f>
        <v/>
      </c>
      <c r="P991" s="9" t="str">
        <f>IF(O991="","",(O991/(N991)*365))</f>
        <v/>
      </c>
      <c r="Q991" s="10"/>
    </row>
    <row r="992" spans="1:17" x14ac:dyDescent="0.15">
      <c r="A992" s="21"/>
      <c r="B992" s="20"/>
      <c r="C992" s="20"/>
      <c r="D992" s="20"/>
      <c r="E992" s="20"/>
      <c r="F992" s="21"/>
      <c r="G992" s="22"/>
      <c r="H992" s="11"/>
      <c r="I992" s="15"/>
      <c r="J992" s="15"/>
      <c r="K992" s="14"/>
      <c r="L992" s="22"/>
      <c r="M992" s="32" t="str">
        <f t="shared" si="13"/>
        <v/>
      </c>
      <c r="N992" s="16" t="str">
        <f t="shared" si="14"/>
        <v/>
      </c>
      <c r="O992" s="17" t="str">
        <f>IF(J992="","",M992/L992)</f>
        <v/>
      </c>
      <c r="P992" s="18" t="str">
        <f>IF(O992="","",(O992/(N992)*365))</f>
        <v/>
      </c>
      <c r="Q992" s="19"/>
    </row>
    <row r="993" spans="1:17" x14ac:dyDescent="0.15">
      <c r="A993" s="23"/>
      <c r="B993" s="3"/>
      <c r="C993" s="3"/>
      <c r="D993" s="3"/>
      <c r="E993" s="3"/>
      <c r="F993" s="23"/>
      <c r="G993" s="24"/>
      <c r="H993" s="1"/>
      <c r="I993" s="6"/>
      <c r="J993" s="6"/>
      <c r="K993" s="5"/>
      <c r="L993" s="24"/>
      <c r="M993" s="31" t="str">
        <f t="shared" si="13"/>
        <v/>
      </c>
      <c r="N993" s="7" t="str">
        <f t="shared" si="14"/>
        <v/>
      </c>
      <c r="O993" s="8" t="str">
        <f>IF(J993="","",M993/L993)</f>
        <v/>
      </c>
      <c r="P993" s="9" t="str">
        <f>IF(O993="","",(O993/(N993)*365))</f>
        <v/>
      </c>
      <c r="Q993" s="10"/>
    </row>
    <row r="994" spans="1:17" x14ac:dyDescent="0.15">
      <c r="A994" s="21"/>
      <c r="B994" s="20"/>
      <c r="C994" s="20"/>
      <c r="D994" s="20"/>
      <c r="E994" s="20"/>
      <c r="F994" s="21"/>
      <c r="G994" s="22"/>
      <c r="H994" s="11"/>
      <c r="I994" s="15"/>
      <c r="J994" s="15"/>
      <c r="K994" s="14"/>
      <c r="L994" s="22"/>
      <c r="M994" s="32" t="str">
        <f t="shared" si="13"/>
        <v/>
      </c>
      <c r="N994" s="16" t="str">
        <f t="shared" si="14"/>
        <v/>
      </c>
      <c r="O994" s="17" t="str">
        <f>IF(J994="","",M994/L994)</f>
        <v/>
      </c>
      <c r="P994" s="18" t="str">
        <f>IF(O994="","",(O994/(N994)*365))</f>
        <v/>
      </c>
      <c r="Q994" s="19"/>
    </row>
    <row r="995" spans="1:17" x14ac:dyDescent="0.15">
      <c r="A995" s="23"/>
      <c r="B995" s="3"/>
      <c r="C995" s="3"/>
      <c r="D995" s="3"/>
      <c r="E995" s="3"/>
      <c r="F995" s="23"/>
      <c r="G995" s="24"/>
      <c r="H995" s="1"/>
      <c r="I995" s="6"/>
      <c r="J995" s="6"/>
      <c r="K995" s="5"/>
      <c r="L995" s="24"/>
      <c r="M995" s="31" t="str">
        <f t="shared" si="13"/>
        <v/>
      </c>
      <c r="N995" s="7" t="str">
        <f t="shared" si="14"/>
        <v/>
      </c>
      <c r="O995" s="8" t="str">
        <f>IF(J995="","",M995/L995)</f>
        <v/>
      </c>
      <c r="P995" s="9" t="str">
        <f>IF(O995="","",(O995/(N995)*365))</f>
        <v/>
      </c>
      <c r="Q995" s="10"/>
    </row>
    <row r="996" spans="1:17" x14ac:dyDescent="0.15">
      <c r="A996" s="21"/>
      <c r="B996" s="20"/>
      <c r="C996" s="20"/>
      <c r="D996" s="20"/>
      <c r="E996" s="20"/>
      <c r="F996" s="21"/>
      <c r="G996" s="22"/>
      <c r="H996" s="11"/>
      <c r="I996" s="15"/>
      <c r="J996" s="15"/>
      <c r="K996" s="14"/>
      <c r="L996" s="22"/>
      <c r="M996" s="32" t="str">
        <f t="shared" si="13"/>
        <v/>
      </c>
      <c r="N996" s="16" t="str">
        <f t="shared" si="14"/>
        <v/>
      </c>
      <c r="O996" s="17" t="str">
        <f>IF(J996="","",M996/L996)</f>
        <v/>
      </c>
      <c r="P996" s="18" t="str">
        <f>IF(O996="","",(O996/(N996)*365))</f>
        <v/>
      </c>
      <c r="Q996" s="19"/>
    </row>
    <row r="997" spans="1:17" x14ac:dyDescent="0.15">
      <c r="A997" s="23"/>
      <c r="B997" s="3"/>
      <c r="C997" s="3"/>
      <c r="D997" s="3"/>
      <c r="E997" s="3"/>
      <c r="F997" s="23"/>
      <c r="G997" s="24"/>
      <c r="H997" s="1"/>
      <c r="I997" s="6"/>
      <c r="J997" s="6"/>
      <c r="K997" s="5"/>
      <c r="L997" s="24"/>
      <c r="M997" s="31" t="str">
        <f t="shared" si="13"/>
        <v/>
      </c>
      <c r="N997" s="7" t="str">
        <f t="shared" si="14"/>
        <v/>
      </c>
      <c r="O997" s="8" t="str">
        <f>IF(J997="","",M997/L997)</f>
        <v/>
      </c>
      <c r="P997" s="9" t="str">
        <f>IF(O997="","",(O997/(N997)*365))</f>
        <v/>
      </c>
      <c r="Q997" s="10"/>
    </row>
    <row r="998" spans="1:17" x14ac:dyDescent="0.15">
      <c r="A998" s="21"/>
      <c r="B998" s="20"/>
      <c r="C998" s="20"/>
      <c r="D998" s="20"/>
      <c r="E998" s="20"/>
      <c r="F998" s="21"/>
      <c r="G998" s="22"/>
      <c r="H998" s="11"/>
      <c r="I998" s="15"/>
      <c r="J998" s="15"/>
      <c r="K998" s="14"/>
      <c r="L998" s="22"/>
      <c r="M998" s="32" t="str">
        <f t="shared" si="13"/>
        <v/>
      </c>
      <c r="N998" s="16" t="str">
        <f t="shared" si="14"/>
        <v/>
      </c>
      <c r="O998" s="17" t="str">
        <f>IF(J998="","",M998/L998)</f>
        <v/>
      </c>
      <c r="P998" s="18" t="str">
        <f>IF(O998="","",(O998/(N998)*365))</f>
        <v/>
      </c>
      <c r="Q998" s="19"/>
    </row>
    <row r="999" spans="1:17" x14ac:dyDescent="0.15">
      <c r="A999" s="23"/>
      <c r="B999" s="3"/>
      <c r="C999" s="3"/>
      <c r="D999" s="3"/>
      <c r="E999" s="3"/>
      <c r="F999" s="23"/>
      <c r="G999" s="24"/>
      <c r="H999" s="1"/>
      <c r="I999" s="6"/>
      <c r="J999" s="6"/>
      <c r="K999" s="5"/>
      <c r="L999" s="24"/>
      <c r="M999" s="31" t="str">
        <f t="shared" si="13"/>
        <v/>
      </c>
      <c r="N999" s="7" t="str">
        <f t="shared" si="14"/>
        <v/>
      </c>
      <c r="O999" s="8" t="str">
        <f>IF(J999="","",M999/L999)</f>
        <v/>
      </c>
      <c r="P999" s="9" t="str">
        <f>IF(O999="","",(O999/(N999)*365))</f>
        <v/>
      </c>
      <c r="Q999" s="10"/>
    </row>
    <row r="1000" spans="1:17" x14ac:dyDescent="0.15">
      <c r="A1000" s="21"/>
      <c r="B1000" s="20"/>
      <c r="C1000" s="20"/>
      <c r="D1000" s="20"/>
      <c r="E1000" s="20"/>
      <c r="F1000" s="21"/>
      <c r="G1000" s="22"/>
      <c r="H1000" s="11"/>
      <c r="I1000" s="15"/>
      <c r="J1000" s="15"/>
      <c r="K1000" s="14"/>
      <c r="L1000" s="22"/>
      <c r="M1000" s="32" t="str">
        <f t="shared" si="13"/>
        <v/>
      </c>
      <c r="N1000" s="16" t="str">
        <f t="shared" si="14"/>
        <v/>
      </c>
      <c r="O1000" s="17" t="str">
        <f>IF(J1000="","",M1000/L1000)</f>
        <v/>
      </c>
      <c r="P1000" s="18" t="str">
        <f>IF(O1000="","",(O1000/(N1000)*365))</f>
        <v/>
      </c>
      <c r="Q1000" s="19"/>
    </row>
    <row r="1001" spans="1:17" x14ac:dyDescent="0.15">
      <c r="A1001" s="23"/>
      <c r="B1001" s="3"/>
      <c r="C1001" s="3"/>
      <c r="D1001" s="3"/>
      <c r="E1001" s="3"/>
      <c r="F1001" s="23"/>
      <c r="G1001" s="24"/>
      <c r="H1001" s="1"/>
      <c r="I1001" s="6"/>
      <c r="J1001" s="6"/>
      <c r="K1001" s="5"/>
      <c r="L1001" s="24"/>
      <c r="M1001" s="31" t="str">
        <f t="shared" si="13"/>
        <v/>
      </c>
      <c r="N1001" s="7" t="str">
        <f t="shared" si="14"/>
        <v/>
      </c>
      <c r="O1001" s="8" t="str">
        <f>IF(J1001="","",M1001/L1001)</f>
        <v/>
      </c>
      <c r="P1001" s="9" t="str">
        <f>IF(O1001="","",(O1001/(N1001)*365))</f>
        <v/>
      </c>
      <c r="Q1001" s="10"/>
    </row>
    <row r="1002" spans="1:17" x14ac:dyDescent="0.15">
      <c r="A1002" s="21"/>
      <c r="B1002" s="20"/>
      <c r="C1002" s="20"/>
      <c r="D1002" s="20"/>
      <c r="E1002" s="20"/>
      <c r="F1002" s="21"/>
      <c r="G1002" s="22"/>
      <c r="H1002" s="11"/>
      <c r="I1002" s="15"/>
      <c r="J1002" s="15"/>
      <c r="K1002" s="14"/>
      <c r="L1002" s="22"/>
      <c r="M1002" s="32" t="str">
        <f t="shared" si="13"/>
        <v/>
      </c>
      <c r="N1002" s="16" t="str">
        <f t="shared" si="14"/>
        <v/>
      </c>
      <c r="O1002" s="17" t="str">
        <f>IF(J1002="","",M1002/L1002)</f>
        <v/>
      </c>
      <c r="P1002" s="18" t="str">
        <f>IF(O1002="","",(O1002/(N1002)*365))</f>
        <v/>
      </c>
      <c r="Q1002" s="19"/>
    </row>
    <row r="1003" spans="1:17" x14ac:dyDescent="0.15">
      <c r="A1003" s="23"/>
      <c r="B1003" s="3"/>
      <c r="C1003" s="3"/>
      <c r="D1003" s="3"/>
      <c r="E1003" s="3"/>
      <c r="F1003" s="23"/>
      <c r="G1003" s="24"/>
      <c r="H1003" s="1"/>
      <c r="I1003" s="6"/>
      <c r="J1003" s="6"/>
      <c r="K1003" s="5"/>
      <c r="L1003" s="24"/>
      <c r="M1003" s="31" t="str">
        <f t="shared" si="13"/>
        <v/>
      </c>
      <c r="N1003" s="7" t="str">
        <f t="shared" si="14"/>
        <v/>
      </c>
      <c r="O1003" s="8" t="str">
        <f>IF(J1003="","",M1003/L1003)</f>
        <v/>
      </c>
      <c r="P1003" s="9" t="str">
        <f>IF(O1003="","",(O1003/(N1003)*365))</f>
        <v/>
      </c>
      <c r="Q1003" s="10"/>
    </row>
    <row r="1004" spans="1:17" x14ac:dyDescent="0.15">
      <c r="A1004" s="21"/>
      <c r="B1004" s="20"/>
      <c r="C1004" s="20"/>
      <c r="D1004" s="20"/>
      <c r="E1004" s="20"/>
      <c r="F1004" s="21"/>
      <c r="G1004" s="22"/>
      <c r="H1004" s="11"/>
      <c r="I1004" s="15"/>
      <c r="J1004" s="15"/>
      <c r="K1004" s="14"/>
      <c r="L1004" s="22"/>
      <c r="M1004" s="32" t="str">
        <f t="shared" si="13"/>
        <v/>
      </c>
      <c r="N1004" s="16" t="str">
        <f t="shared" si="14"/>
        <v/>
      </c>
      <c r="O1004" s="17" t="str">
        <f>IF(J1004="","",M1004/L1004)</f>
        <v/>
      </c>
      <c r="P1004" s="18" t="str">
        <f>IF(O1004="","",(O1004/(N1004)*365))</f>
        <v/>
      </c>
      <c r="Q1004" s="19"/>
    </row>
    <row r="1005" spans="1:17" x14ac:dyDescent="0.15">
      <c r="A1005" s="23"/>
      <c r="B1005" s="3"/>
      <c r="C1005" s="3"/>
      <c r="D1005" s="3"/>
      <c r="E1005" s="3"/>
      <c r="F1005" s="23"/>
      <c r="G1005" s="24"/>
      <c r="H1005" s="1"/>
      <c r="I1005" s="6"/>
      <c r="J1005" s="6"/>
      <c r="K1005" s="5"/>
      <c r="L1005" s="24"/>
      <c r="M1005" s="31" t="str">
        <f t="shared" si="13"/>
        <v/>
      </c>
      <c r="N1005" s="7" t="str">
        <f t="shared" si="14"/>
        <v/>
      </c>
      <c r="O1005" s="8" t="str">
        <f>IF(J1005="","",M1005/L1005)</f>
        <v/>
      </c>
      <c r="P1005" s="9" t="str">
        <f>IF(O1005="","",(O1005/(N1005)*365))</f>
        <v/>
      </c>
      <c r="Q1005" s="10"/>
    </row>
    <row r="1006" spans="1:17" x14ac:dyDescent="0.15">
      <c r="A1006" s="21"/>
      <c r="B1006" s="20"/>
      <c r="C1006" s="20"/>
      <c r="D1006" s="20"/>
      <c r="E1006" s="20"/>
      <c r="F1006" s="21"/>
      <c r="G1006" s="22"/>
      <c r="H1006" s="11"/>
      <c r="I1006" s="15"/>
      <c r="J1006" s="15"/>
      <c r="K1006" s="14"/>
      <c r="L1006" s="22"/>
      <c r="M1006" s="32" t="str">
        <f t="shared" si="13"/>
        <v/>
      </c>
      <c r="N1006" s="16" t="str">
        <f t="shared" si="14"/>
        <v/>
      </c>
      <c r="O1006" s="17" t="str">
        <f>IF(J1006="","",M1006/L1006)</f>
        <v/>
      </c>
      <c r="P1006" s="18" t="str">
        <f>IF(O1006="","",(O1006/(N1006)*365))</f>
        <v/>
      </c>
      <c r="Q1006" s="19"/>
    </row>
    <row r="1007" spans="1:17" x14ac:dyDescent="0.15">
      <c r="A1007" s="23"/>
      <c r="B1007" s="3"/>
      <c r="C1007" s="3"/>
      <c r="D1007" s="3"/>
      <c r="E1007" s="3"/>
      <c r="F1007" s="23"/>
      <c r="G1007" s="24"/>
      <c r="H1007" s="1"/>
      <c r="I1007" s="6"/>
      <c r="J1007" s="6"/>
      <c r="K1007" s="5"/>
      <c r="L1007" s="24"/>
      <c r="M1007" s="31" t="str">
        <f t="shared" si="13"/>
        <v/>
      </c>
      <c r="N1007" s="7" t="str">
        <f t="shared" si="14"/>
        <v/>
      </c>
      <c r="O1007" s="8" t="str">
        <f>IF(J1007="","",M1007/L1007)</f>
        <v/>
      </c>
      <c r="P1007" s="9" t="str">
        <f>IF(O1007="","",(O1007/(N1007)*365))</f>
        <v/>
      </c>
      <c r="Q1007" s="10"/>
    </row>
    <row r="1008" spans="1:17" x14ac:dyDescent="0.15">
      <c r="A1008" s="21"/>
      <c r="B1008" s="20"/>
      <c r="C1008" s="20"/>
      <c r="D1008" s="20"/>
      <c r="E1008" s="20"/>
      <c r="F1008" s="21"/>
      <c r="G1008" s="22"/>
      <c r="H1008" s="11"/>
      <c r="I1008" s="15"/>
      <c r="J1008" s="15"/>
      <c r="K1008" s="14"/>
      <c r="L1008" s="22"/>
      <c r="M1008" s="32" t="str">
        <f t="shared" si="13"/>
        <v/>
      </c>
      <c r="N1008" s="16" t="str">
        <f t="shared" si="14"/>
        <v/>
      </c>
      <c r="O1008" s="17" t="str">
        <f>IF(J1008="","",M1008/L1008)</f>
        <v/>
      </c>
      <c r="P1008" s="18" t="str">
        <f>IF(O1008="","",(O1008/(N1008)*365))</f>
        <v/>
      </c>
      <c r="Q1008" s="19"/>
    </row>
    <row r="1009" spans="1:17" x14ac:dyDescent="0.15">
      <c r="A1009" s="23"/>
      <c r="B1009" s="3"/>
      <c r="C1009" s="3"/>
      <c r="D1009" s="3"/>
      <c r="E1009" s="3"/>
      <c r="F1009" s="23"/>
      <c r="G1009" s="24"/>
      <c r="H1009" s="1"/>
      <c r="I1009" s="6"/>
      <c r="J1009" s="6"/>
      <c r="K1009" s="5"/>
      <c r="L1009" s="24"/>
      <c r="M1009" s="31" t="str">
        <f t="shared" si="13"/>
        <v/>
      </c>
      <c r="N1009" s="7" t="str">
        <f t="shared" si="14"/>
        <v/>
      </c>
      <c r="O1009" s="8" t="str">
        <f>IF(J1009="","",M1009/L1009)</f>
        <v/>
      </c>
      <c r="P1009" s="9" t="str">
        <f>IF(O1009="","",(O1009/(N1009)*365))</f>
        <v/>
      </c>
      <c r="Q1009" s="10"/>
    </row>
    <row r="1010" spans="1:17" x14ac:dyDescent="0.15">
      <c r="A1010" s="21"/>
      <c r="B1010" s="20"/>
      <c r="C1010" s="20"/>
      <c r="D1010" s="20"/>
      <c r="E1010" s="20"/>
      <c r="F1010" s="21"/>
      <c r="G1010" s="22"/>
      <c r="H1010" s="11"/>
      <c r="I1010" s="15"/>
      <c r="J1010" s="15"/>
      <c r="K1010" s="14"/>
      <c r="L1010" s="22"/>
      <c r="M1010" s="32" t="str">
        <f t="shared" si="13"/>
        <v/>
      </c>
      <c r="N1010" s="16" t="str">
        <f t="shared" si="14"/>
        <v/>
      </c>
      <c r="O1010" s="17" t="str">
        <f>IF(J1010="","",M1010/L1010)</f>
        <v/>
      </c>
      <c r="P1010" s="18" t="str">
        <f>IF(O1010="","",(O1010/(N1010)*365))</f>
        <v/>
      </c>
      <c r="Q1010" s="19"/>
    </row>
    <row r="1011" spans="1:17" x14ac:dyDescent="0.15">
      <c r="A1011" s="23"/>
      <c r="B1011" s="3"/>
      <c r="C1011" s="3"/>
      <c r="D1011" s="3"/>
      <c r="E1011" s="3"/>
      <c r="F1011" s="23"/>
      <c r="G1011" s="24"/>
      <c r="H1011" s="1"/>
      <c r="I1011" s="6"/>
      <c r="J1011" s="6"/>
      <c r="K1011" s="5"/>
      <c r="L1011" s="24"/>
      <c r="M1011" s="31" t="str">
        <f t="shared" si="13"/>
        <v/>
      </c>
      <c r="N1011" s="7" t="str">
        <f t="shared" si="14"/>
        <v/>
      </c>
      <c r="O1011" s="8" t="str">
        <f>IF(J1011="","",M1011/L1011)</f>
        <v/>
      </c>
      <c r="P1011" s="9" t="str">
        <f>IF(O1011="","",(O1011/(N1011)*365))</f>
        <v/>
      </c>
      <c r="Q1011" s="10"/>
    </row>
    <row r="1012" spans="1:17" x14ac:dyDescent="0.15">
      <c r="A1012" s="21"/>
      <c r="B1012" s="20"/>
      <c r="C1012" s="20"/>
      <c r="D1012" s="20"/>
      <c r="E1012" s="20"/>
      <c r="F1012" s="21"/>
      <c r="G1012" s="22"/>
      <c r="H1012" s="11"/>
      <c r="I1012" s="15"/>
      <c r="J1012" s="15"/>
      <c r="K1012" s="14"/>
      <c r="L1012" s="22"/>
      <c r="M1012" s="32" t="str">
        <f t="shared" si="13"/>
        <v/>
      </c>
      <c r="N1012" s="16" t="str">
        <f t="shared" si="14"/>
        <v/>
      </c>
      <c r="O1012" s="17" t="str">
        <f>IF(J1012="","",M1012/L1012)</f>
        <v/>
      </c>
      <c r="P1012" s="18" t="str">
        <f>IF(O1012="","",(O1012/(N1012)*365))</f>
        <v/>
      </c>
      <c r="Q1012" s="19"/>
    </row>
    <row r="1013" spans="1:17" x14ac:dyDescent="0.15">
      <c r="A1013" s="23"/>
      <c r="B1013" s="3"/>
      <c r="C1013" s="3"/>
      <c r="D1013" s="3"/>
      <c r="E1013" s="3"/>
      <c r="F1013" s="23"/>
      <c r="G1013" s="24"/>
      <c r="H1013" s="1"/>
      <c r="I1013" s="6"/>
      <c r="J1013" s="6"/>
      <c r="K1013" s="5"/>
      <c r="L1013" s="24"/>
      <c r="M1013" s="31" t="str">
        <f t="shared" si="13"/>
        <v/>
      </c>
      <c r="N1013" s="7" t="str">
        <f t="shared" si="14"/>
        <v/>
      </c>
      <c r="O1013" s="8" t="str">
        <f>IF(J1013="","",M1013/L1013)</f>
        <v/>
      </c>
      <c r="P1013" s="9" t="str">
        <f>IF(O1013="","",(O1013/(N1013)*365))</f>
        <v/>
      </c>
      <c r="Q1013" s="10"/>
    </row>
    <row r="1014" spans="1:17" x14ac:dyDescent="0.15">
      <c r="A1014" s="21"/>
      <c r="B1014" s="20"/>
      <c r="C1014" s="20"/>
      <c r="D1014" s="20"/>
      <c r="E1014" s="20"/>
      <c r="F1014" s="21"/>
      <c r="G1014" s="22"/>
      <c r="H1014" s="11"/>
      <c r="I1014" s="15"/>
      <c r="J1014" s="15"/>
      <c r="K1014" s="14"/>
      <c r="L1014" s="22"/>
      <c r="M1014" s="32" t="str">
        <f t="shared" si="13"/>
        <v/>
      </c>
      <c r="N1014" s="16" t="str">
        <f t="shared" si="14"/>
        <v/>
      </c>
      <c r="O1014" s="17" t="str">
        <f>IF(J1014="","",M1014/L1014)</f>
        <v/>
      </c>
      <c r="P1014" s="18" t="str">
        <f>IF(O1014="","",(O1014/(N1014)*365))</f>
        <v/>
      </c>
      <c r="Q1014" s="19"/>
    </row>
    <row r="1015" spans="1:17" x14ac:dyDescent="0.15">
      <c r="A1015" s="23"/>
      <c r="B1015" s="3"/>
      <c r="C1015" s="3"/>
      <c r="D1015" s="3"/>
      <c r="E1015" s="3"/>
      <c r="F1015" s="23"/>
      <c r="G1015" s="24"/>
      <c r="H1015" s="1"/>
      <c r="I1015" s="6"/>
      <c r="J1015" s="6"/>
      <c r="K1015" s="5"/>
      <c r="L1015" s="24"/>
      <c r="M1015" s="31" t="str">
        <f t="shared" si="13"/>
        <v/>
      </c>
      <c r="N1015" s="7" t="str">
        <f t="shared" si="14"/>
        <v/>
      </c>
      <c r="O1015" s="8" t="str">
        <f>IF(J1015="","",M1015/L1015)</f>
        <v/>
      </c>
      <c r="P1015" s="9" t="str">
        <f>IF(O1015="","",(O1015/(N1015)*365))</f>
        <v/>
      </c>
      <c r="Q1015" s="10"/>
    </row>
    <row r="1016" spans="1:17" x14ac:dyDescent="0.15">
      <c r="A1016" s="21"/>
      <c r="B1016" s="20"/>
      <c r="C1016" s="20"/>
      <c r="D1016" s="20"/>
      <c r="E1016" s="20"/>
      <c r="F1016" s="21"/>
      <c r="G1016" s="22"/>
      <c r="H1016" s="11"/>
      <c r="I1016" s="15"/>
      <c r="J1016" s="15"/>
      <c r="K1016" s="14"/>
      <c r="L1016" s="22"/>
      <c r="M1016" s="32" t="str">
        <f t="shared" si="13"/>
        <v/>
      </c>
      <c r="N1016" s="16" t="str">
        <f t="shared" si="14"/>
        <v/>
      </c>
      <c r="O1016" s="17" t="str">
        <f>IF(J1016="","",M1016/L1016)</f>
        <v/>
      </c>
      <c r="P1016" s="18" t="str">
        <f>IF(O1016="","",(O1016/(N1016)*365))</f>
        <v/>
      </c>
      <c r="Q1016" s="19"/>
    </row>
    <row r="1017" spans="1:17" x14ac:dyDescent="0.15">
      <c r="A1017" s="23"/>
      <c r="B1017" s="3"/>
      <c r="C1017" s="3"/>
      <c r="D1017" s="3"/>
      <c r="E1017" s="3"/>
      <c r="F1017" s="23"/>
      <c r="G1017" s="24"/>
      <c r="H1017" s="1"/>
      <c r="I1017" s="6"/>
      <c r="J1017" s="6"/>
      <c r="K1017" s="5"/>
      <c r="L1017" s="24"/>
      <c r="M1017" s="31" t="str">
        <f t="shared" si="13"/>
        <v/>
      </c>
      <c r="N1017" s="7" t="str">
        <f t="shared" si="14"/>
        <v/>
      </c>
      <c r="O1017" s="8" t="str">
        <f>IF(J1017="","",M1017/L1017)</f>
        <v/>
      </c>
      <c r="P1017" s="9" t="str">
        <f>IF(O1017="","",(O1017/(N1017)*365))</f>
        <v/>
      </c>
      <c r="Q1017" s="10"/>
    </row>
    <row r="1018" spans="1:17" x14ac:dyDescent="0.15">
      <c r="A1018" s="21"/>
      <c r="B1018" s="20"/>
      <c r="C1018" s="20"/>
      <c r="D1018" s="20"/>
      <c r="E1018" s="20"/>
      <c r="F1018" s="21"/>
      <c r="G1018" s="22"/>
      <c r="H1018" s="11"/>
      <c r="I1018" s="15"/>
      <c r="J1018" s="15"/>
      <c r="K1018" s="14"/>
      <c r="L1018" s="22"/>
      <c r="M1018" s="32" t="str">
        <f t="shared" si="13"/>
        <v/>
      </c>
      <c r="N1018" s="16" t="str">
        <f t="shared" si="14"/>
        <v/>
      </c>
      <c r="O1018" s="17" t="str">
        <f>IF(J1018="","",M1018/L1018)</f>
        <v/>
      </c>
      <c r="P1018" s="18" t="str">
        <f>IF(O1018="","",(O1018/(N1018)*365))</f>
        <v/>
      </c>
      <c r="Q1018" s="19"/>
    </row>
    <row r="1019" spans="1:17" x14ac:dyDescent="0.15">
      <c r="A1019" s="23"/>
      <c r="B1019" s="3"/>
      <c r="C1019" s="3"/>
      <c r="D1019" s="3"/>
      <c r="E1019" s="3"/>
      <c r="F1019" s="23"/>
      <c r="G1019" s="24"/>
      <c r="H1019" s="1"/>
      <c r="I1019" s="6"/>
      <c r="J1019" s="6"/>
      <c r="K1019" s="5"/>
      <c r="L1019" s="24"/>
      <c r="M1019" s="31" t="str">
        <f t="shared" si="13"/>
        <v/>
      </c>
      <c r="N1019" s="7" t="str">
        <f t="shared" si="14"/>
        <v/>
      </c>
      <c r="O1019" s="8" t="str">
        <f>IF(J1019="","",M1019/L1019)</f>
        <v/>
      </c>
      <c r="P1019" s="9" t="str">
        <f>IF(O1019="","",(O1019/(N1019)*365))</f>
        <v/>
      </c>
      <c r="Q1019" s="10"/>
    </row>
    <row r="1020" spans="1:17" x14ac:dyDescent="0.15">
      <c r="A1020" s="21"/>
      <c r="B1020" s="20"/>
      <c r="C1020" s="20"/>
      <c r="D1020" s="20"/>
      <c r="E1020" s="20"/>
      <c r="F1020" s="21"/>
      <c r="G1020" s="22"/>
      <c r="H1020" s="11"/>
      <c r="I1020" s="15"/>
      <c r="J1020" s="15"/>
      <c r="K1020" s="14"/>
      <c r="L1020" s="22"/>
      <c r="M1020" s="32" t="str">
        <f t="shared" si="13"/>
        <v/>
      </c>
      <c r="N1020" s="16" t="str">
        <f t="shared" si="14"/>
        <v/>
      </c>
      <c r="O1020" s="17" t="str">
        <f>IF(J1020="","",M1020/L1020)</f>
        <v/>
      </c>
      <c r="P1020" s="18" t="str">
        <f>IF(O1020="","",(O1020/(N1020)*365))</f>
        <v/>
      </c>
      <c r="Q1020" s="19"/>
    </row>
    <row r="1021" spans="1:17" x14ac:dyDescent="0.15">
      <c r="A1021" s="23"/>
      <c r="B1021" s="3"/>
      <c r="C1021" s="3"/>
      <c r="D1021" s="3"/>
      <c r="E1021" s="3"/>
      <c r="F1021" s="23"/>
      <c r="G1021" s="24"/>
      <c r="H1021" s="1"/>
      <c r="I1021" s="6"/>
      <c r="J1021" s="6"/>
      <c r="K1021" s="5"/>
      <c r="L1021" s="24"/>
      <c r="M1021" s="31" t="str">
        <f t="shared" si="13"/>
        <v/>
      </c>
      <c r="N1021" s="7" t="str">
        <f t="shared" si="14"/>
        <v/>
      </c>
      <c r="O1021" s="8" t="str">
        <f>IF(J1021="","",M1021/L1021)</f>
        <v/>
      </c>
      <c r="P1021" s="9" t="str">
        <f>IF(O1021="","",(O1021/(N1021)*365))</f>
        <v/>
      </c>
      <c r="Q1021" s="10"/>
    </row>
    <row r="1022" spans="1:17" x14ac:dyDescent="0.15">
      <c r="A1022" s="21"/>
      <c r="B1022" s="20"/>
      <c r="C1022" s="20"/>
      <c r="D1022" s="20"/>
      <c r="E1022" s="20"/>
      <c r="F1022" s="21"/>
      <c r="G1022" s="22"/>
      <c r="H1022" s="11"/>
      <c r="I1022" s="15"/>
      <c r="J1022" s="15"/>
      <c r="K1022" s="14"/>
      <c r="L1022" s="22"/>
      <c r="M1022" s="32" t="str">
        <f t="shared" si="13"/>
        <v/>
      </c>
      <c r="N1022" s="16" t="str">
        <f t="shared" si="14"/>
        <v/>
      </c>
      <c r="O1022" s="17" t="str">
        <f>IF(J1022="","",M1022/L1022)</f>
        <v/>
      </c>
      <c r="P1022" s="18" t="str">
        <f>IF(O1022="","",(O1022/(N1022)*365))</f>
        <v/>
      </c>
      <c r="Q1022" s="19"/>
    </row>
    <row r="1023" spans="1:17" x14ac:dyDescent="0.15">
      <c r="A1023" s="23"/>
      <c r="B1023" s="3"/>
      <c r="C1023" s="3"/>
      <c r="D1023" s="3"/>
      <c r="E1023" s="3"/>
      <c r="F1023" s="23"/>
      <c r="G1023" s="24"/>
      <c r="H1023" s="1"/>
      <c r="I1023" s="6"/>
      <c r="J1023" s="6"/>
      <c r="K1023" s="5"/>
      <c r="L1023" s="24"/>
      <c r="M1023" s="31" t="str">
        <f t="shared" si="13"/>
        <v/>
      </c>
      <c r="N1023" s="7" t="str">
        <f t="shared" si="14"/>
        <v/>
      </c>
      <c r="O1023" s="8" t="str">
        <f>IF(J1023="","",M1023/L1023)</f>
        <v/>
      </c>
      <c r="P1023" s="9" t="str">
        <f>IF(O1023="","",(O1023/(N1023)*365))</f>
        <v/>
      </c>
      <c r="Q1023" s="10"/>
    </row>
    <row r="1024" spans="1:17" x14ac:dyDescent="0.15">
      <c r="A1024" s="21"/>
      <c r="B1024" s="20"/>
      <c r="C1024" s="20"/>
      <c r="D1024" s="20"/>
      <c r="E1024" s="20"/>
      <c r="F1024" s="21"/>
      <c r="G1024" s="22"/>
      <c r="H1024" s="11"/>
      <c r="I1024" s="15"/>
      <c r="J1024" s="15"/>
      <c r="K1024" s="14"/>
      <c r="L1024" s="22"/>
      <c r="M1024" s="32" t="str">
        <f t="shared" si="13"/>
        <v/>
      </c>
      <c r="N1024" s="16" t="str">
        <f t="shared" si="14"/>
        <v/>
      </c>
      <c r="O1024" s="17" t="str">
        <f>IF(J1024="","",M1024/L1024)</f>
        <v/>
      </c>
      <c r="P1024" s="18" t="str">
        <f>IF(O1024="","",(O1024/(N1024)*365))</f>
        <v/>
      </c>
      <c r="Q1024" s="19"/>
    </row>
    <row r="1025" spans="1:17" x14ac:dyDescent="0.15">
      <c r="A1025" s="23"/>
      <c r="B1025" s="3"/>
      <c r="C1025" s="3"/>
      <c r="D1025" s="3"/>
      <c r="E1025" s="3"/>
      <c r="F1025" s="23"/>
      <c r="G1025" s="24"/>
      <c r="H1025" s="1"/>
      <c r="I1025" s="6"/>
      <c r="J1025" s="6"/>
      <c r="K1025" s="5"/>
      <c r="L1025" s="24"/>
      <c r="M1025" s="31" t="str">
        <f t="shared" ref="M1025:M1139" si="15">IF(J1025="","",IF(A1025="SELL",(I1025-J1025-K1025/100)*H1025*100, IF(A1025="BUY",(J1025-I1025-K1025/100)*H1025*100, IF(A1025="ASS",(J1025-I1025-K1025/100)*H1025*100,IF(A1025="ASSIGNED",(J1025-I1025-K1025/100)*H1025*100, IF(A1025="SDI",((J1025-I1025)*H1025)-(K1025), IF(A1025="","")))))))</f>
        <v/>
      </c>
      <c r="N1025" s="7" t="str">
        <f t="shared" ref="N1025:N1139" si="16">IF(D1025="","",(IF(D1025-B1025&lt;1,"1",D1025-B1025)))</f>
        <v/>
      </c>
      <c r="O1025" s="8" t="str">
        <f>IF(J1025="","",M1025/L1025)</f>
        <v/>
      </c>
      <c r="P1025" s="9" t="str">
        <f>IF(O1025="","",(O1025/(N1025)*365))</f>
        <v/>
      </c>
      <c r="Q1025" s="10"/>
    </row>
    <row r="1026" spans="1:17" x14ac:dyDescent="0.15">
      <c r="A1026" s="21"/>
      <c r="B1026" s="20"/>
      <c r="C1026" s="20"/>
      <c r="D1026" s="20"/>
      <c r="E1026" s="20"/>
      <c r="F1026" s="21"/>
      <c r="G1026" s="22"/>
      <c r="H1026" s="11"/>
      <c r="I1026" s="15"/>
      <c r="J1026" s="15"/>
      <c r="K1026" s="14"/>
      <c r="L1026" s="22"/>
      <c r="M1026" s="32" t="str">
        <f t="shared" si="15"/>
        <v/>
      </c>
      <c r="N1026" s="16" t="str">
        <f t="shared" si="16"/>
        <v/>
      </c>
      <c r="O1026" s="17" t="str">
        <f>IF(J1026="","",M1026/L1026)</f>
        <v/>
      </c>
      <c r="P1026" s="18" t="str">
        <f>IF(O1026="","",(O1026/(N1026)*365))</f>
        <v/>
      </c>
      <c r="Q1026" s="19"/>
    </row>
    <row r="1027" spans="1:17" x14ac:dyDescent="0.15">
      <c r="A1027" s="23"/>
      <c r="B1027" s="3"/>
      <c r="C1027" s="3"/>
      <c r="D1027" s="3"/>
      <c r="E1027" s="3"/>
      <c r="F1027" s="23"/>
      <c r="G1027" s="24"/>
      <c r="H1027" s="1"/>
      <c r="I1027" s="6"/>
      <c r="J1027" s="6"/>
      <c r="K1027" s="5"/>
      <c r="L1027" s="24"/>
      <c r="M1027" s="31" t="str">
        <f t="shared" si="15"/>
        <v/>
      </c>
      <c r="N1027" s="7" t="str">
        <f t="shared" si="16"/>
        <v/>
      </c>
      <c r="O1027" s="8" t="str">
        <f>IF(J1027="","",M1027/L1027)</f>
        <v/>
      </c>
      <c r="P1027" s="9" t="str">
        <f>IF(O1027="","",(O1027/(N1027)*365))</f>
        <v/>
      </c>
      <c r="Q1027" s="10"/>
    </row>
    <row r="1028" spans="1:17" x14ac:dyDescent="0.15">
      <c r="A1028" s="21"/>
      <c r="B1028" s="20"/>
      <c r="C1028" s="20"/>
      <c r="D1028" s="20"/>
      <c r="E1028" s="20"/>
      <c r="F1028" s="21"/>
      <c r="G1028" s="22"/>
      <c r="H1028" s="11"/>
      <c r="I1028" s="15"/>
      <c r="J1028" s="15"/>
      <c r="K1028" s="14"/>
      <c r="L1028" s="22"/>
      <c r="M1028" s="32" t="str">
        <f t="shared" si="15"/>
        <v/>
      </c>
      <c r="N1028" s="16" t="str">
        <f t="shared" si="16"/>
        <v/>
      </c>
      <c r="O1028" s="17" t="str">
        <f>IF(J1028="","",M1028/L1028)</f>
        <v/>
      </c>
      <c r="P1028" s="18" t="str">
        <f>IF(O1028="","",(O1028/(N1028)*365))</f>
        <v/>
      </c>
      <c r="Q1028" s="19"/>
    </row>
    <row r="1029" spans="1:17" x14ac:dyDescent="0.15">
      <c r="A1029" s="23"/>
      <c r="B1029" s="3"/>
      <c r="C1029" s="3"/>
      <c r="D1029" s="3"/>
      <c r="E1029" s="3"/>
      <c r="F1029" s="23"/>
      <c r="G1029" s="24"/>
      <c r="H1029" s="1"/>
      <c r="I1029" s="6"/>
      <c r="J1029" s="6"/>
      <c r="K1029" s="5"/>
      <c r="L1029" s="24"/>
      <c r="M1029" s="31" t="str">
        <f t="shared" si="15"/>
        <v/>
      </c>
      <c r="N1029" s="7" t="str">
        <f t="shared" si="16"/>
        <v/>
      </c>
      <c r="O1029" s="8" t="str">
        <f>IF(J1029="","",M1029/L1029)</f>
        <v/>
      </c>
      <c r="P1029" s="9" t="str">
        <f>IF(O1029="","",(O1029/(N1029)*365))</f>
        <v/>
      </c>
      <c r="Q1029" s="10"/>
    </row>
    <row r="1030" spans="1:17" x14ac:dyDescent="0.15">
      <c r="A1030" s="21"/>
      <c r="B1030" s="20"/>
      <c r="C1030" s="20"/>
      <c r="D1030" s="20"/>
      <c r="E1030" s="20"/>
      <c r="F1030" s="21"/>
      <c r="G1030" s="22"/>
      <c r="H1030" s="11"/>
      <c r="I1030" s="15"/>
      <c r="J1030" s="15"/>
      <c r="K1030" s="14"/>
      <c r="L1030" s="22"/>
      <c r="M1030" s="32" t="str">
        <f t="shared" si="15"/>
        <v/>
      </c>
      <c r="N1030" s="16" t="str">
        <f t="shared" si="16"/>
        <v/>
      </c>
      <c r="O1030" s="17" t="str">
        <f>IF(J1030="","",M1030/L1030)</f>
        <v/>
      </c>
      <c r="P1030" s="18" t="str">
        <f>IF(O1030="","",(O1030/(N1030)*365))</f>
        <v/>
      </c>
      <c r="Q1030" s="19"/>
    </row>
    <row r="1031" spans="1:17" x14ac:dyDescent="0.15">
      <c r="A1031" s="23"/>
      <c r="B1031" s="3"/>
      <c r="C1031" s="3"/>
      <c r="D1031" s="3"/>
      <c r="E1031" s="3"/>
      <c r="F1031" s="23"/>
      <c r="G1031" s="24"/>
      <c r="H1031" s="1"/>
      <c r="I1031" s="6"/>
      <c r="J1031" s="6"/>
      <c r="K1031" s="5"/>
      <c r="L1031" s="24"/>
      <c r="M1031" s="31" t="str">
        <f t="shared" si="15"/>
        <v/>
      </c>
      <c r="N1031" s="7" t="str">
        <f t="shared" si="16"/>
        <v/>
      </c>
      <c r="O1031" s="8" t="str">
        <f>IF(J1031="","",M1031/L1031)</f>
        <v/>
      </c>
      <c r="P1031" s="9" t="str">
        <f>IF(O1031="","",(O1031/(N1031)*365))</f>
        <v/>
      </c>
      <c r="Q1031" s="10"/>
    </row>
    <row r="1032" spans="1:17" x14ac:dyDescent="0.15">
      <c r="A1032" s="21"/>
      <c r="B1032" s="20"/>
      <c r="C1032" s="20"/>
      <c r="D1032" s="20"/>
      <c r="E1032" s="20"/>
      <c r="F1032" s="21"/>
      <c r="G1032" s="22"/>
      <c r="H1032" s="11"/>
      <c r="I1032" s="15"/>
      <c r="J1032" s="15"/>
      <c r="K1032" s="14"/>
      <c r="L1032" s="22"/>
      <c r="M1032" s="32" t="str">
        <f t="shared" si="15"/>
        <v/>
      </c>
      <c r="N1032" s="16" t="str">
        <f t="shared" si="16"/>
        <v/>
      </c>
      <c r="O1032" s="17" t="str">
        <f>IF(J1032="","",M1032/L1032)</f>
        <v/>
      </c>
      <c r="P1032" s="18" t="str">
        <f>IF(O1032="","",(O1032/(N1032)*365))</f>
        <v/>
      </c>
      <c r="Q1032" s="19"/>
    </row>
    <row r="1033" spans="1:17" x14ac:dyDescent="0.15">
      <c r="A1033" s="23"/>
      <c r="B1033" s="3"/>
      <c r="C1033" s="3"/>
      <c r="D1033" s="3"/>
      <c r="E1033" s="3"/>
      <c r="F1033" s="23"/>
      <c r="G1033" s="24"/>
      <c r="H1033" s="1"/>
      <c r="I1033" s="6"/>
      <c r="J1033" s="6"/>
      <c r="K1033" s="5"/>
      <c r="L1033" s="24"/>
      <c r="M1033" s="31" t="str">
        <f t="shared" si="15"/>
        <v/>
      </c>
      <c r="N1033" s="7" t="str">
        <f t="shared" si="16"/>
        <v/>
      </c>
      <c r="O1033" s="8" t="str">
        <f>IF(J1033="","",M1033/L1033)</f>
        <v/>
      </c>
      <c r="P1033" s="9" t="str">
        <f>IF(O1033="","",(O1033/(N1033)*365))</f>
        <v/>
      </c>
      <c r="Q1033" s="10"/>
    </row>
    <row r="1034" spans="1:17" x14ac:dyDescent="0.15">
      <c r="A1034" s="21"/>
      <c r="B1034" s="20"/>
      <c r="C1034" s="20"/>
      <c r="D1034" s="20"/>
      <c r="E1034" s="20"/>
      <c r="F1034" s="21"/>
      <c r="G1034" s="22"/>
      <c r="H1034" s="11"/>
      <c r="I1034" s="15"/>
      <c r="J1034" s="15"/>
      <c r="K1034" s="14"/>
      <c r="L1034" s="22"/>
      <c r="M1034" s="32" t="str">
        <f t="shared" si="15"/>
        <v/>
      </c>
      <c r="N1034" s="16" t="str">
        <f t="shared" si="16"/>
        <v/>
      </c>
      <c r="O1034" s="17" t="str">
        <f>IF(J1034="","",M1034/L1034)</f>
        <v/>
      </c>
      <c r="P1034" s="18" t="str">
        <f>IF(O1034="","",(O1034/(N1034)*365))</f>
        <v/>
      </c>
      <c r="Q1034" s="19"/>
    </row>
    <row r="1035" spans="1:17" x14ac:dyDescent="0.15">
      <c r="A1035" s="23"/>
      <c r="B1035" s="3"/>
      <c r="C1035" s="3"/>
      <c r="D1035" s="3"/>
      <c r="E1035" s="3"/>
      <c r="F1035" s="23"/>
      <c r="G1035" s="24"/>
      <c r="H1035" s="1"/>
      <c r="I1035" s="6"/>
      <c r="J1035" s="6"/>
      <c r="K1035" s="5"/>
      <c r="L1035" s="24"/>
      <c r="M1035" s="31" t="str">
        <f t="shared" si="15"/>
        <v/>
      </c>
      <c r="N1035" s="7" t="str">
        <f t="shared" si="16"/>
        <v/>
      </c>
      <c r="O1035" s="8" t="str">
        <f>IF(J1035="","",M1035/L1035)</f>
        <v/>
      </c>
      <c r="P1035" s="9" t="str">
        <f>IF(O1035="","",(O1035/(N1035)*365))</f>
        <v/>
      </c>
      <c r="Q1035" s="10"/>
    </row>
    <row r="1036" spans="1:17" x14ac:dyDescent="0.15">
      <c r="A1036" s="21"/>
      <c r="B1036" s="20"/>
      <c r="C1036" s="20"/>
      <c r="D1036" s="20"/>
      <c r="E1036" s="20"/>
      <c r="F1036" s="21"/>
      <c r="G1036" s="22"/>
      <c r="H1036" s="11"/>
      <c r="I1036" s="15"/>
      <c r="J1036" s="15"/>
      <c r="K1036" s="14"/>
      <c r="L1036" s="22"/>
      <c r="M1036" s="32" t="str">
        <f t="shared" si="15"/>
        <v/>
      </c>
      <c r="N1036" s="16" t="str">
        <f t="shared" si="16"/>
        <v/>
      </c>
      <c r="O1036" s="17" t="str">
        <f>IF(J1036="","",M1036/L1036)</f>
        <v/>
      </c>
      <c r="P1036" s="18" t="str">
        <f>IF(O1036="","",(O1036/(N1036)*365))</f>
        <v/>
      </c>
      <c r="Q1036" s="19"/>
    </row>
    <row r="1037" spans="1:17" x14ac:dyDescent="0.15">
      <c r="A1037" s="23"/>
      <c r="B1037" s="3"/>
      <c r="C1037" s="3"/>
      <c r="D1037" s="3"/>
      <c r="E1037" s="3"/>
      <c r="F1037" s="23"/>
      <c r="G1037" s="24"/>
      <c r="H1037" s="1"/>
      <c r="I1037" s="6"/>
      <c r="J1037" s="6"/>
      <c r="K1037" s="5"/>
      <c r="L1037" s="24"/>
      <c r="M1037" s="31" t="str">
        <f t="shared" si="15"/>
        <v/>
      </c>
      <c r="N1037" s="7" t="str">
        <f t="shared" si="16"/>
        <v/>
      </c>
      <c r="O1037" s="8" t="str">
        <f>IF(J1037="","",M1037/L1037)</f>
        <v/>
      </c>
      <c r="P1037" s="9" t="str">
        <f>IF(O1037="","",(O1037/(N1037)*365))</f>
        <v/>
      </c>
      <c r="Q1037" s="10"/>
    </row>
    <row r="1038" spans="1:17" x14ac:dyDescent="0.15">
      <c r="A1038" s="21"/>
      <c r="B1038" s="20"/>
      <c r="C1038" s="20"/>
      <c r="D1038" s="20"/>
      <c r="E1038" s="20"/>
      <c r="F1038" s="21"/>
      <c r="G1038" s="22"/>
      <c r="H1038" s="11"/>
      <c r="I1038" s="15"/>
      <c r="J1038" s="15"/>
      <c r="K1038" s="14"/>
      <c r="L1038" s="22"/>
      <c r="M1038" s="32" t="str">
        <f t="shared" si="15"/>
        <v/>
      </c>
      <c r="N1038" s="16" t="str">
        <f t="shared" si="16"/>
        <v/>
      </c>
      <c r="O1038" s="17" t="str">
        <f>IF(J1038="","",M1038/L1038)</f>
        <v/>
      </c>
      <c r="P1038" s="18" t="str">
        <f>IF(O1038="","",(O1038/(N1038)*365))</f>
        <v/>
      </c>
      <c r="Q1038" s="19"/>
    </row>
    <row r="1039" spans="1:17" x14ac:dyDescent="0.15">
      <c r="A1039" s="23"/>
      <c r="B1039" s="3"/>
      <c r="C1039" s="3"/>
      <c r="D1039" s="3"/>
      <c r="E1039" s="3"/>
      <c r="F1039" s="23"/>
      <c r="G1039" s="24"/>
      <c r="H1039" s="1"/>
      <c r="I1039" s="6"/>
      <c r="J1039" s="6"/>
      <c r="K1039" s="5"/>
      <c r="L1039" s="24"/>
      <c r="M1039" s="31" t="str">
        <f t="shared" si="15"/>
        <v/>
      </c>
      <c r="N1039" s="7" t="str">
        <f t="shared" si="16"/>
        <v/>
      </c>
      <c r="O1039" s="8" t="str">
        <f>IF(J1039="","",M1039/L1039)</f>
        <v/>
      </c>
      <c r="P1039" s="9" t="str">
        <f>IF(O1039="","",(O1039/(N1039)*365))</f>
        <v/>
      </c>
      <c r="Q1039" s="10"/>
    </row>
    <row r="1040" spans="1:17" x14ac:dyDescent="0.15">
      <c r="A1040" s="21"/>
      <c r="B1040" s="20"/>
      <c r="C1040" s="20"/>
      <c r="D1040" s="20"/>
      <c r="E1040" s="20"/>
      <c r="F1040" s="21"/>
      <c r="G1040" s="22"/>
      <c r="H1040" s="11"/>
      <c r="I1040" s="15"/>
      <c r="J1040" s="15"/>
      <c r="K1040" s="14"/>
      <c r="L1040" s="22"/>
      <c r="M1040" s="32" t="str">
        <f t="shared" si="15"/>
        <v/>
      </c>
      <c r="N1040" s="16" t="str">
        <f t="shared" si="16"/>
        <v/>
      </c>
      <c r="O1040" s="17" t="str">
        <f>IF(J1040="","",M1040/L1040)</f>
        <v/>
      </c>
      <c r="P1040" s="18" t="str">
        <f>IF(O1040="","",(O1040/(N1040)*365))</f>
        <v/>
      </c>
      <c r="Q1040" s="19"/>
    </row>
    <row r="1041" spans="1:17" x14ac:dyDescent="0.15">
      <c r="A1041" s="23"/>
      <c r="B1041" s="3"/>
      <c r="C1041" s="3"/>
      <c r="D1041" s="3"/>
      <c r="E1041" s="3"/>
      <c r="F1041" s="23"/>
      <c r="G1041" s="24"/>
      <c r="H1041" s="1"/>
      <c r="I1041" s="6"/>
      <c r="J1041" s="6"/>
      <c r="K1041" s="5"/>
      <c r="L1041" s="24"/>
      <c r="M1041" s="31" t="str">
        <f t="shared" si="15"/>
        <v/>
      </c>
      <c r="N1041" s="7" t="str">
        <f t="shared" si="16"/>
        <v/>
      </c>
      <c r="O1041" s="8" t="str">
        <f>IF(J1041="","",M1041/L1041)</f>
        <v/>
      </c>
      <c r="P1041" s="9" t="str">
        <f>IF(O1041="","",(O1041/(N1041)*365))</f>
        <v/>
      </c>
      <c r="Q1041" s="10"/>
    </row>
    <row r="1042" spans="1:17" x14ac:dyDescent="0.15">
      <c r="A1042" s="21"/>
      <c r="B1042" s="20"/>
      <c r="C1042" s="20"/>
      <c r="D1042" s="20"/>
      <c r="E1042" s="20"/>
      <c r="F1042" s="21"/>
      <c r="G1042" s="22"/>
      <c r="H1042" s="11"/>
      <c r="I1042" s="15"/>
      <c r="J1042" s="15"/>
      <c r="K1042" s="14"/>
      <c r="L1042" s="22"/>
      <c r="M1042" s="32" t="str">
        <f t="shared" si="15"/>
        <v/>
      </c>
      <c r="N1042" s="16" t="str">
        <f t="shared" si="16"/>
        <v/>
      </c>
      <c r="O1042" s="17" t="str">
        <f>IF(J1042="","",M1042/L1042)</f>
        <v/>
      </c>
      <c r="P1042" s="18" t="str">
        <f>IF(O1042="","",(O1042/(N1042)*365))</f>
        <v/>
      </c>
      <c r="Q1042" s="19"/>
    </row>
    <row r="1043" spans="1:17" x14ac:dyDescent="0.15">
      <c r="A1043" s="23"/>
      <c r="B1043" s="3"/>
      <c r="C1043" s="3"/>
      <c r="D1043" s="3"/>
      <c r="E1043" s="3"/>
      <c r="F1043" s="23"/>
      <c r="G1043" s="24"/>
      <c r="H1043" s="1"/>
      <c r="I1043" s="6"/>
      <c r="J1043" s="6"/>
      <c r="K1043" s="5"/>
      <c r="L1043" s="24"/>
      <c r="M1043" s="31" t="str">
        <f t="shared" si="15"/>
        <v/>
      </c>
      <c r="N1043" s="7" t="str">
        <f t="shared" si="16"/>
        <v/>
      </c>
      <c r="O1043" s="8" t="str">
        <f>IF(J1043="","",M1043/L1043)</f>
        <v/>
      </c>
      <c r="P1043" s="9" t="str">
        <f>IF(O1043="","",(O1043/(N1043)*365))</f>
        <v/>
      </c>
      <c r="Q1043" s="10"/>
    </row>
    <row r="1044" spans="1:17" x14ac:dyDescent="0.15">
      <c r="A1044" s="21"/>
      <c r="B1044" s="20"/>
      <c r="C1044" s="20"/>
      <c r="D1044" s="20"/>
      <c r="E1044" s="20"/>
      <c r="F1044" s="21"/>
      <c r="G1044" s="22"/>
      <c r="H1044" s="11"/>
      <c r="I1044" s="15"/>
      <c r="J1044" s="15"/>
      <c r="K1044" s="14"/>
      <c r="L1044" s="22"/>
      <c r="M1044" s="32" t="str">
        <f t="shared" si="15"/>
        <v/>
      </c>
      <c r="N1044" s="16" t="str">
        <f t="shared" si="16"/>
        <v/>
      </c>
      <c r="O1044" s="17" t="str">
        <f>IF(J1044="","",M1044/L1044)</f>
        <v/>
      </c>
      <c r="P1044" s="18" t="str">
        <f>IF(O1044="","",(O1044/(N1044)*365))</f>
        <v/>
      </c>
      <c r="Q1044" s="19"/>
    </row>
    <row r="1045" spans="1:17" x14ac:dyDescent="0.15">
      <c r="A1045" s="23"/>
      <c r="B1045" s="3"/>
      <c r="C1045" s="3"/>
      <c r="D1045" s="3"/>
      <c r="E1045" s="3"/>
      <c r="F1045" s="23"/>
      <c r="G1045" s="24"/>
      <c r="H1045" s="1"/>
      <c r="I1045" s="6"/>
      <c r="J1045" s="6"/>
      <c r="K1045" s="5"/>
      <c r="L1045" s="24"/>
      <c r="M1045" s="31" t="str">
        <f t="shared" si="15"/>
        <v/>
      </c>
      <c r="N1045" s="7" t="str">
        <f t="shared" si="16"/>
        <v/>
      </c>
      <c r="O1045" s="8" t="str">
        <f>IF(J1045="","",M1045/L1045)</f>
        <v/>
      </c>
      <c r="P1045" s="9" t="str">
        <f>IF(O1045="","",(O1045/(N1045)*365))</f>
        <v/>
      </c>
      <c r="Q1045" s="10"/>
    </row>
    <row r="1046" spans="1:17" x14ac:dyDescent="0.15">
      <c r="A1046" s="21"/>
      <c r="B1046" s="20"/>
      <c r="C1046" s="20"/>
      <c r="D1046" s="20"/>
      <c r="E1046" s="20"/>
      <c r="F1046" s="21"/>
      <c r="G1046" s="22"/>
      <c r="H1046" s="11"/>
      <c r="I1046" s="15"/>
      <c r="J1046" s="15"/>
      <c r="K1046" s="14"/>
      <c r="L1046" s="22"/>
      <c r="M1046" s="32" t="str">
        <f t="shared" si="15"/>
        <v/>
      </c>
      <c r="N1046" s="16" t="str">
        <f t="shared" si="16"/>
        <v/>
      </c>
      <c r="O1046" s="17" t="str">
        <f>IF(J1046="","",M1046/L1046)</f>
        <v/>
      </c>
      <c r="P1046" s="18" t="str">
        <f>IF(O1046="","",(O1046/(N1046)*365))</f>
        <v/>
      </c>
      <c r="Q1046" s="19"/>
    </row>
    <row r="1047" spans="1:17" x14ac:dyDescent="0.15">
      <c r="A1047" s="23"/>
      <c r="B1047" s="3"/>
      <c r="C1047" s="3"/>
      <c r="D1047" s="3"/>
      <c r="E1047" s="3"/>
      <c r="F1047" s="23"/>
      <c r="G1047" s="24"/>
      <c r="H1047" s="1"/>
      <c r="I1047" s="6"/>
      <c r="J1047" s="6"/>
      <c r="K1047" s="5"/>
      <c r="L1047" s="24"/>
      <c r="M1047" s="31" t="str">
        <f t="shared" si="15"/>
        <v/>
      </c>
      <c r="N1047" s="7" t="str">
        <f t="shared" si="16"/>
        <v/>
      </c>
      <c r="O1047" s="8" t="str">
        <f>IF(J1047="","",M1047/L1047)</f>
        <v/>
      </c>
      <c r="P1047" s="9" t="str">
        <f>IF(O1047="","",(O1047/(N1047)*365))</f>
        <v/>
      </c>
      <c r="Q1047" s="10"/>
    </row>
    <row r="1048" spans="1:17" x14ac:dyDescent="0.15">
      <c r="A1048" s="21"/>
      <c r="B1048" s="20"/>
      <c r="C1048" s="20"/>
      <c r="D1048" s="20"/>
      <c r="E1048" s="20"/>
      <c r="F1048" s="21"/>
      <c r="G1048" s="22"/>
      <c r="H1048" s="11"/>
      <c r="I1048" s="15"/>
      <c r="J1048" s="15"/>
      <c r="K1048" s="14"/>
      <c r="L1048" s="22"/>
      <c r="M1048" s="32" t="str">
        <f t="shared" si="15"/>
        <v/>
      </c>
      <c r="N1048" s="16" t="str">
        <f t="shared" si="16"/>
        <v/>
      </c>
      <c r="O1048" s="17" t="str">
        <f>IF(J1048="","",M1048/L1048)</f>
        <v/>
      </c>
      <c r="P1048" s="18" t="str">
        <f>IF(O1048="","",(O1048/(N1048)*365))</f>
        <v/>
      </c>
      <c r="Q1048" s="19"/>
    </row>
    <row r="1049" spans="1:17" x14ac:dyDescent="0.15">
      <c r="A1049" s="23"/>
      <c r="B1049" s="3"/>
      <c r="C1049" s="3"/>
      <c r="D1049" s="3"/>
      <c r="E1049" s="3"/>
      <c r="F1049" s="23"/>
      <c r="G1049" s="24"/>
      <c r="H1049" s="1"/>
      <c r="I1049" s="6"/>
      <c r="J1049" s="6"/>
      <c r="K1049" s="5"/>
      <c r="L1049" s="24"/>
      <c r="M1049" s="31" t="str">
        <f t="shared" si="15"/>
        <v/>
      </c>
      <c r="N1049" s="7" t="str">
        <f t="shared" si="16"/>
        <v/>
      </c>
      <c r="O1049" s="8" t="str">
        <f>IF(J1049="","",M1049/L1049)</f>
        <v/>
      </c>
      <c r="P1049" s="9" t="str">
        <f>IF(O1049="","",(O1049/(N1049)*365))</f>
        <v/>
      </c>
      <c r="Q1049" s="10"/>
    </row>
    <row r="1050" spans="1:17" x14ac:dyDescent="0.15">
      <c r="A1050" s="21"/>
      <c r="B1050" s="20"/>
      <c r="C1050" s="20"/>
      <c r="D1050" s="20"/>
      <c r="E1050" s="28"/>
      <c r="F1050" s="21"/>
      <c r="G1050" s="22"/>
      <c r="H1050" s="11"/>
      <c r="I1050" s="15"/>
      <c r="J1050" s="15"/>
      <c r="K1050" s="14"/>
      <c r="L1050" s="22"/>
      <c r="M1050" s="32" t="str">
        <f t="shared" si="15"/>
        <v/>
      </c>
      <c r="N1050" s="16" t="str">
        <f t="shared" si="16"/>
        <v/>
      </c>
      <c r="O1050" s="17" t="str">
        <f>IF(J1050="","",M1050/L1050)</f>
        <v/>
      </c>
      <c r="P1050" s="18" t="str">
        <f>IF(O1050="","",(O1050/(N1050)*365))</f>
        <v/>
      </c>
      <c r="Q1050" s="19"/>
    </row>
    <row r="1051" spans="1:17" x14ac:dyDescent="0.15">
      <c r="A1051" s="23"/>
      <c r="B1051" s="3"/>
      <c r="C1051" s="3"/>
      <c r="D1051" s="3"/>
      <c r="E1051" s="29"/>
      <c r="F1051" s="23"/>
      <c r="G1051" s="24"/>
      <c r="H1051" s="1"/>
      <c r="I1051" s="6"/>
      <c r="J1051" s="6"/>
      <c r="K1051" s="5"/>
      <c r="L1051" s="24"/>
      <c r="M1051" s="31" t="str">
        <f t="shared" si="15"/>
        <v/>
      </c>
      <c r="N1051" s="7" t="str">
        <f t="shared" si="16"/>
        <v/>
      </c>
      <c r="O1051" s="8" t="str">
        <f>IF(J1051="","",M1051/L1051)</f>
        <v/>
      </c>
      <c r="P1051" s="9" t="str">
        <f>IF(O1051="","",(O1051/(N1051)*365))</f>
        <v/>
      </c>
      <c r="Q1051" s="10"/>
    </row>
    <row r="1052" spans="1:17" x14ac:dyDescent="0.15">
      <c r="A1052" s="21"/>
      <c r="B1052" s="20"/>
      <c r="C1052" s="20"/>
      <c r="D1052" s="20"/>
      <c r="E1052" s="28"/>
      <c r="F1052" s="21"/>
      <c r="G1052" s="22"/>
      <c r="H1052" s="11"/>
      <c r="I1052" s="15"/>
      <c r="J1052" s="15"/>
      <c r="K1052" s="14"/>
      <c r="L1052" s="22"/>
      <c r="M1052" s="32" t="str">
        <f t="shared" si="15"/>
        <v/>
      </c>
      <c r="N1052" s="16" t="str">
        <f t="shared" si="16"/>
        <v/>
      </c>
      <c r="O1052" s="17" t="str">
        <f>IF(J1052="","",M1052/L1052)</f>
        <v/>
      </c>
      <c r="P1052" s="18" t="str">
        <f>IF(O1052="","",(O1052/(N1052)*365))</f>
        <v/>
      </c>
      <c r="Q1052" s="19"/>
    </row>
    <row r="1053" spans="1:17" x14ac:dyDescent="0.15">
      <c r="A1053" s="23"/>
      <c r="B1053" s="3"/>
      <c r="C1053" s="3"/>
      <c r="D1053" s="3"/>
      <c r="E1053" s="29"/>
      <c r="F1053" s="23"/>
      <c r="G1053" s="24"/>
      <c r="H1053" s="1"/>
      <c r="I1053" s="6"/>
      <c r="J1053" s="6"/>
      <c r="K1053" s="5"/>
      <c r="L1053" s="24"/>
      <c r="M1053" s="31" t="str">
        <f t="shared" si="15"/>
        <v/>
      </c>
      <c r="N1053" s="7" t="str">
        <f t="shared" si="16"/>
        <v/>
      </c>
      <c r="O1053" s="8" t="str">
        <f>IF(J1053="","",M1053/L1053)</f>
        <v/>
      </c>
      <c r="P1053" s="9" t="str">
        <f>IF(O1053="","",(O1053/(N1053)*365))</f>
        <v/>
      </c>
      <c r="Q1053" s="10"/>
    </row>
    <row r="1054" spans="1:17" x14ac:dyDescent="0.15">
      <c r="A1054" s="21"/>
      <c r="B1054" s="20"/>
      <c r="C1054" s="20"/>
      <c r="D1054" s="20"/>
      <c r="E1054" s="28"/>
      <c r="F1054" s="21"/>
      <c r="G1054" s="22"/>
      <c r="H1054" s="11"/>
      <c r="I1054" s="15"/>
      <c r="J1054" s="15"/>
      <c r="K1054" s="14"/>
      <c r="L1054" s="22"/>
      <c r="M1054" s="32" t="str">
        <f t="shared" si="15"/>
        <v/>
      </c>
      <c r="N1054" s="16" t="str">
        <f t="shared" si="16"/>
        <v/>
      </c>
      <c r="O1054" s="17" t="str">
        <f>IF(J1054="","",M1054/L1054)</f>
        <v/>
      </c>
      <c r="P1054" s="18" t="str">
        <f>IF(O1054="","",(O1054/(N1054)*365))</f>
        <v/>
      </c>
      <c r="Q1054" s="19"/>
    </row>
    <row r="1055" spans="1:17" x14ac:dyDescent="0.15">
      <c r="A1055" s="23"/>
      <c r="B1055" s="3"/>
      <c r="C1055" s="3"/>
      <c r="D1055" s="3"/>
      <c r="E1055" s="29"/>
      <c r="F1055" s="23"/>
      <c r="G1055" s="24"/>
      <c r="H1055" s="1"/>
      <c r="I1055" s="6"/>
      <c r="J1055" s="6"/>
      <c r="K1055" s="5"/>
      <c r="L1055" s="24"/>
      <c r="M1055" s="31" t="str">
        <f t="shared" si="15"/>
        <v/>
      </c>
      <c r="N1055" s="7" t="str">
        <f t="shared" si="16"/>
        <v/>
      </c>
      <c r="O1055" s="8" t="str">
        <f>IF(J1055="","",M1055/L1055)</f>
        <v/>
      </c>
      <c r="P1055" s="9" t="str">
        <f>IF(O1055="","",(O1055/(N1055)*365))</f>
        <v/>
      </c>
      <c r="Q1055" s="10"/>
    </row>
    <row r="1056" spans="1:17" x14ac:dyDescent="0.15">
      <c r="A1056" s="21"/>
      <c r="B1056" s="20"/>
      <c r="C1056" s="20"/>
      <c r="D1056" s="20"/>
      <c r="E1056" s="28"/>
      <c r="F1056" s="21"/>
      <c r="G1056" s="22"/>
      <c r="H1056" s="11"/>
      <c r="I1056" s="15"/>
      <c r="J1056" s="15"/>
      <c r="K1056" s="14"/>
      <c r="L1056" s="22"/>
      <c r="M1056" s="32" t="str">
        <f t="shared" si="15"/>
        <v/>
      </c>
      <c r="N1056" s="16" t="str">
        <f t="shared" si="16"/>
        <v/>
      </c>
      <c r="O1056" s="17" t="str">
        <f>IF(J1056="","",M1056/L1056)</f>
        <v/>
      </c>
      <c r="P1056" s="18" t="str">
        <f>IF(O1056="","",(O1056/(N1056)*365))</f>
        <v/>
      </c>
      <c r="Q1056" s="19"/>
    </row>
    <row r="1057" spans="1:17" x14ac:dyDescent="0.15">
      <c r="A1057" s="23"/>
      <c r="B1057" s="3"/>
      <c r="C1057" s="3"/>
      <c r="D1057" s="3"/>
      <c r="E1057" s="29"/>
      <c r="F1057" s="23"/>
      <c r="G1057" s="24"/>
      <c r="H1057" s="1"/>
      <c r="I1057" s="6"/>
      <c r="J1057" s="6"/>
      <c r="K1057" s="5"/>
      <c r="L1057" s="24"/>
      <c r="M1057" s="31" t="str">
        <f t="shared" si="15"/>
        <v/>
      </c>
      <c r="N1057" s="7" t="str">
        <f t="shared" si="16"/>
        <v/>
      </c>
      <c r="O1057" s="8" t="str">
        <f>IF(J1057="","",M1057/L1057)</f>
        <v/>
      </c>
      <c r="P1057" s="9" t="str">
        <f>IF(O1057="","",(O1057/(N1057)*365))</f>
        <v/>
      </c>
      <c r="Q1057" s="10"/>
    </row>
    <row r="1058" spans="1:17" x14ac:dyDescent="0.15">
      <c r="A1058" s="21"/>
      <c r="B1058" s="20"/>
      <c r="C1058" s="20"/>
      <c r="D1058" s="20"/>
      <c r="E1058" s="28"/>
      <c r="F1058" s="21"/>
      <c r="G1058" s="22"/>
      <c r="H1058" s="11"/>
      <c r="I1058" s="15"/>
      <c r="J1058" s="15"/>
      <c r="K1058" s="14"/>
      <c r="L1058" s="22"/>
      <c r="M1058" s="32" t="str">
        <f t="shared" si="15"/>
        <v/>
      </c>
      <c r="N1058" s="16" t="str">
        <f t="shared" si="16"/>
        <v/>
      </c>
      <c r="O1058" s="17" t="str">
        <f>IF(J1058="","",M1058/L1058)</f>
        <v/>
      </c>
      <c r="P1058" s="18" t="str">
        <f>IF(O1058="","",(O1058/(N1058)*365))</f>
        <v/>
      </c>
      <c r="Q1058" s="19"/>
    </row>
    <row r="1059" spans="1:17" x14ac:dyDescent="0.15">
      <c r="A1059" s="23"/>
      <c r="B1059" s="3"/>
      <c r="C1059" s="3"/>
      <c r="D1059" s="3"/>
      <c r="E1059" s="29"/>
      <c r="F1059" s="23"/>
      <c r="G1059" s="24"/>
      <c r="H1059" s="1"/>
      <c r="I1059" s="6"/>
      <c r="J1059" s="6"/>
      <c r="K1059" s="5"/>
      <c r="L1059" s="24"/>
      <c r="M1059" s="31" t="str">
        <f t="shared" si="15"/>
        <v/>
      </c>
      <c r="N1059" s="7" t="str">
        <f t="shared" si="16"/>
        <v/>
      </c>
      <c r="O1059" s="8" t="str">
        <f>IF(J1059="","",M1059/L1059)</f>
        <v/>
      </c>
      <c r="P1059" s="9" t="str">
        <f>IF(O1059="","",(O1059/(N1059)*365))</f>
        <v/>
      </c>
      <c r="Q1059" s="10"/>
    </row>
    <row r="1060" spans="1:17" x14ac:dyDescent="0.15">
      <c r="A1060" s="21"/>
      <c r="B1060" s="20"/>
      <c r="C1060" s="20"/>
      <c r="D1060" s="20"/>
      <c r="E1060" s="28"/>
      <c r="F1060" s="21"/>
      <c r="G1060" s="22"/>
      <c r="H1060" s="11"/>
      <c r="I1060" s="15"/>
      <c r="J1060" s="15"/>
      <c r="K1060" s="14"/>
      <c r="L1060" s="22"/>
      <c r="M1060" s="32" t="str">
        <f t="shared" si="15"/>
        <v/>
      </c>
      <c r="N1060" s="16" t="str">
        <f t="shared" si="16"/>
        <v/>
      </c>
      <c r="O1060" s="17" t="str">
        <f>IF(J1060="","",M1060/L1060)</f>
        <v/>
      </c>
      <c r="P1060" s="18" t="str">
        <f>IF(O1060="","",(O1060/(N1060)*365))</f>
        <v/>
      </c>
      <c r="Q1060" s="19"/>
    </row>
    <row r="1061" spans="1:17" x14ac:dyDescent="0.15">
      <c r="A1061" s="23"/>
      <c r="B1061" s="3"/>
      <c r="C1061" s="3"/>
      <c r="D1061" s="3"/>
      <c r="E1061" s="29"/>
      <c r="F1061" s="23"/>
      <c r="G1061" s="24"/>
      <c r="H1061" s="1"/>
      <c r="I1061" s="6"/>
      <c r="J1061" s="6"/>
      <c r="K1061" s="5"/>
      <c r="L1061" s="24"/>
      <c r="M1061" s="31" t="str">
        <f t="shared" si="15"/>
        <v/>
      </c>
      <c r="N1061" s="7" t="str">
        <f t="shared" si="16"/>
        <v/>
      </c>
      <c r="O1061" s="8" t="str">
        <f>IF(J1061="","",M1061/L1061)</f>
        <v/>
      </c>
      <c r="P1061" s="9" t="str">
        <f>IF(O1061="","",(O1061/(N1061)*365))</f>
        <v/>
      </c>
      <c r="Q1061" s="10"/>
    </row>
    <row r="1062" spans="1:17" x14ac:dyDescent="0.15">
      <c r="A1062" s="21"/>
      <c r="B1062" s="20"/>
      <c r="C1062" s="20"/>
      <c r="D1062" s="20"/>
      <c r="E1062" s="28"/>
      <c r="F1062" s="21"/>
      <c r="G1062" s="22"/>
      <c r="H1062" s="11"/>
      <c r="I1062" s="15"/>
      <c r="J1062" s="15"/>
      <c r="K1062" s="14"/>
      <c r="L1062" s="22"/>
      <c r="M1062" s="32" t="str">
        <f t="shared" si="15"/>
        <v/>
      </c>
      <c r="N1062" s="16" t="str">
        <f t="shared" si="16"/>
        <v/>
      </c>
      <c r="O1062" s="17" t="str">
        <f>IF(J1062="","",M1062/L1062)</f>
        <v/>
      </c>
      <c r="P1062" s="18" t="str">
        <f>IF(O1062="","",(O1062/(N1062)*365))</f>
        <v/>
      </c>
      <c r="Q1062" s="19"/>
    </row>
    <row r="1063" spans="1:17" x14ac:dyDescent="0.15">
      <c r="A1063" s="23"/>
      <c r="B1063" s="3"/>
      <c r="C1063" s="3"/>
      <c r="D1063" s="3"/>
      <c r="E1063" s="29"/>
      <c r="F1063" s="23"/>
      <c r="G1063" s="24"/>
      <c r="H1063" s="1"/>
      <c r="I1063" s="6"/>
      <c r="J1063" s="6"/>
      <c r="K1063" s="5"/>
      <c r="L1063" s="24"/>
      <c r="M1063" s="31" t="str">
        <f t="shared" si="15"/>
        <v/>
      </c>
      <c r="N1063" s="7" t="str">
        <f t="shared" si="16"/>
        <v/>
      </c>
      <c r="O1063" s="8" t="str">
        <f>IF(J1063="","",M1063/L1063)</f>
        <v/>
      </c>
      <c r="P1063" s="9" t="str">
        <f>IF(O1063="","",(O1063/(N1063)*365))</f>
        <v/>
      </c>
      <c r="Q1063" s="10"/>
    </row>
    <row r="1064" spans="1:17" x14ac:dyDescent="0.15">
      <c r="A1064" s="21"/>
      <c r="B1064" s="20"/>
      <c r="C1064" s="20"/>
      <c r="D1064" s="20"/>
      <c r="E1064" s="28"/>
      <c r="F1064" s="21"/>
      <c r="G1064" s="22"/>
      <c r="H1064" s="11"/>
      <c r="I1064" s="15"/>
      <c r="J1064" s="15"/>
      <c r="K1064" s="14"/>
      <c r="L1064" s="22"/>
      <c r="M1064" s="32" t="str">
        <f t="shared" si="15"/>
        <v/>
      </c>
      <c r="N1064" s="16" t="str">
        <f t="shared" si="16"/>
        <v/>
      </c>
      <c r="O1064" s="17" t="str">
        <f>IF(J1064="","",M1064/L1064)</f>
        <v/>
      </c>
      <c r="P1064" s="18" t="str">
        <f>IF(O1064="","",(O1064/(N1064)*365))</f>
        <v/>
      </c>
      <c r="Q1064" s="19"/>
    </row>
    <row r="1065" spans="1:17" x14ac:dyDescent="0.15">
      <c r="A1065" s="23"/>
      <c r="B1065" s="3"/>
      <c r="C1065" s="3"/>
      <c r="D1065" s="3"/>
      <c r="E1065" s="29"/>
      <c r="F1065" s="23"/>
      <c r="G1065" s="24"/>
      <c r="H1065" s="1"/>
      <c r="I1065" s="6"/>
      <c r="J1065" s="6"/>
      <c r="K1065" s="5"/>
      <c r="L1065" s="24"/>
      <c r="M1065" s="31" t="str">
        <f t="shared" si="15"/>
        <v/>
      </c>
      <c r="N1065" s="7" t="str">
        <f t="shared" si="16"/>
        <v/>
      </c>
      <c r="O1065" s="8" t="str">
        <f>IF(J1065="","",M1065/L1065)</f>
        <v/>
      </c>
      <c r="P1065" s="9" t="str">
        <f>IF(O1065="","",(O1065/(N1065)*365))</f>
        <v/>
      </c>
      <c r="Q1065" s="10"/>
    </row>
    <row r="1066" spans="1:17" x14ac:dyDescent="0.15">
      <c r="A1066" s="21"/>
      <c r="B1066" s="20"/>
      <c r="C1066" s="20"/>
      <c r="D1066" s="20"/>
      <c r="E1066" s="28"/>
      <c r="F1066" s="21"/>
      <c r="G1066" s="22"/>
      <c r="H1066" s="11"/>
      <c r="I1066" s="15"/>
      <c r="J1066" s="15"/>
      <c r="K1066" s="14"/>
      <c r="L1066" s="22"/>
      <c r="M1066" s="32" t="str">
        <f t="shared" si="15"/>
        <v/>
      </c>
      <c r="N1066" s="16" t="str">
        <f t="shared" si="16"/>
        <v/>
      </c>
      <c r="O1066" s="17" t="str">
        <f>IF(J1066="","",M1066/L1066)</f>
        <v/>
      </c>
      <c r="P1066" s="18" t="str">
        <f>IF(O1066="","",(O1066/(N1066)*365))</f>
        <v/>
      </c>
      <c r="Q1066" s="19"/>
    </row>
    <row r="1067" spans="1:17" x14ac:dyDescent="0.15">
      <c r="A1067" s="23"/>
      <c r="B1067" s="3"/>
      <c r="C1067" s="3"/>
      <c r="D1067" s="3"/>
      <c r="E1067" s="29"/>
      <c r="F1067" s="23"/>
      <c r="G1067" s="24"/>
      <c r="H1067" s="1"/>
      <c r="I1067" s="6"/>
      <c r="J1067" s="6"/>
      <c r="K1067" s="5"/>
      <c r="L1067" s="24"/>
      <c r="M1067" s="31" t="str">
        <f t="shared" si="15"/>
        <v/>
      </c>
      <c r="N1067" s="7" t="str">
        <f t="shared" si="16"/>
        <v/>
      </c>
      <c r="O1067" s="8" t="str">
        <f>IF(J1067="","",M1067/L1067)</f>
        <v/>
      </c>
      <c r="P1067" s="9" t="str">
        <f>IF(O1067="","",(O1067/(N1067)*365))</f>
        <v/>
      </c>
      <c r="Q1067" s="10"/>
    </row>
    <row r="1068" spans="1:17" x14ac:dyDescent="0.15">
      <c r="A1068" s="21"/>
      <c r="B1068" s="20"/>
      <c r="C1068" s="20"/>
      <c r="D1068" s="20"/>
      <c r="E1068" s="28"/>
      <c r="F1068" s="21"/>
      <c r="G1068" s="22"/>
      <c r="H1068" s="11"/>
      <c r="I1068" s="15"/>
      <c r="J1068" s="15"/>
      <c r="K1068" s="14"/>
      <c r="L1068" s="22"/>
      <c r="M1068" s="32" t="str">
        <f t="shared" si="15"/>
        <v/>
      </c>
      <c r="N1068" s="16" t="str">
        <f t="shared" si="16"/>
        <v/>
      </c>
      <c r="O1068" s="17" t="str">
        <f>IF(J1068="","",M1068/L1068)</f>
        <v/>
      </c>
      <c r="P1068" s="18" t="str">
        <f>IF(O1068="","",(O1068/(N1068)*365))</f>
        <v/>
      </c>
      <c r="Q1068" s="19"/>
    </row>
    <row r="1069" spans="1:17" x14ac:dyDescent="0.15">
      <c r="A1069" s="23"/>
      <c r="B1069" s="3"/>
      <c r="C1069" s="3"/>
      <c r="D1069" s="3"/>
      <c r="E1069" s="29"/>
      <c r="F1069" s="23"/>
      <c r="G1069" s="24"/>
      <c r="H1069" s="1"/>
      <c r="I1069" s="6"/>
      <c r="J1069" s="6"/>
      <c r="K1069" s="5"/>
      <c r="L1069" s="24"/>
      <c r="M1069" s="31" t="str">
        <f t="shared" si="15"/>
        <v/>
      </c>
      <c r="N1069" s="7" t="str">
        <f t="shared" si="16"/>
        <v/>
      </c>
      <c r="O1069" s="8" t="str">
        <f>IF(J1069="","",M1069/L1069)</f>
        <v/>
      </c>
      <c r="P1069" s="9" t="str">
        <f>IF(O1069="","",(O1069/(N1069)*365))</f>
        <v/>
      </c>
      <c r="Q1069" s="10"/>
    </row>
    <row r="1070" spans="1:17" x14ac:dyDescent="0.15">
      <c r="A1070" s="21"/>
      <c r="B1070" s="20"/>
      <c r="C1070" s="20"/>
      <c r="D1070" s="20"/>
      <c r="E1070" s="28"/>
      <c r="F1070" s="21"/>
      <c r="G1070" s="22"/>
      <c r="H1070" s="11"/>
      <c r="I1070" s="15"/>
      <c r="J1070" s="15"/>
      <c r="K1070" s="14"/>
      <c r="L1070" s="22"/>
      <c r="M1070" s="32" t="str">
        <f t="shared" si="15"/>
        <v/>
      </c>
      <c r="N1070" s="16" t="str">
        <f t="shared" si="16"/>
        <v/>
      </c>
      <c r="O1070" s="17" t="str">
        <f>IF(J1070="","",M1070/L1070)</f>
        <v/>
      </c>
      <c r="P1070" s="18" t="str">
        <f>IF(O1070="","",(O1070/(N1070)*365))</f>
        <v/>
      </c>
      <c r="Q1070" s="19"/>
    </row>
    <row r="1071" spans="1:17" x14ac:dyDescent="0.15">
      <c r="A1071" s="23"/>
      <c r="B1071" s="3"/>
      <c r="C1071" s="3"/>
      <c r="D1071" s="3"/>
      <c r="E1071" s="29"/>
      <c r="F1071" s="23"/>
      <c r="G1071" s="24"/>
      <c r="H1071" s="1"/>
      <c r="I1071" s="6"/>
      <c r="J1071" s="6"/>
      <c r="K1071" s="5"/>
      <c r="L1071" s="24"/>
      <c r="M1071" s="31" t="str">
        <f t="shared" si="15"/>
        <v/>
      </c>
      <c r="N1071" s="7" t="str">
        <f t="shared" si="16"/>
        <v/>
      </c>
      <c r="O1071" s="8" t="str">
        <f>IF(J1071="","",M1071/L1071)</f>
        <v/>
      </c>
      <c r="P1071" s="9" t="str">
        <f>IF(O1071="","",(O1071/(N1071)*365))</f>
        <v/>
      </c>
      <c r="Q1071" s="10"/>
    </row>
    <row r="1072" spans="1:17" x14ac:dyDescent="0.15">
      <c r="A1072" s="21"/>
      <c r="B1072" s="20"/>
      <c r="C1072" s="20"/>
      <c r="D1072" s="20"/>
      <c r="E1072" s="28"/>
      <c r="F1072" s="21"/>
      <c r="G1072" s="22"/>
      <c r="H1072" s="11"/>
      <c r="I1072" s="15"/>
      <c r="J1072" s="15"/>
      <c r="K1072" s="14"/>
      <c r="L1072" s="22"/>
      <c r="M1072" s="32" t="str">
        <f t="shared" si="15"/>
        <v/>
      </c>
      <c r="N1072" s="16" t="str">
        <f t="shared" si="16"/>
        <v/>
      </c>
      <c r="O1072" s="17" t="str">
        <f>IF(J1072="","",M1072/L1072)</f>
        <v/>
      </c>
      <c r="P1072" s="18" t="str">
        <f>IF(O1072="","",(O1072/(N1072)*365))</f>
        <v/>
      </c>
      <c r="Q1072" s="19"/>
    </row>
    <row r="1073" spans="1:17" x14ac:dyDescent="0.15">
      <c r="A1073" s="23"/>
      <c r="B1073" s="3"/>
      <c r="C1073" s="3"/>
      <c r="D1073" s="3"/>
      <c r="E1073" s="29"/>
      <c r="F1073" s="23"/>
      <c r="G1073" s="24"/>
      <c r="H1073" s="1"/>
      <c r="I1073" s="6"/>
      <c r="J1073" s="6"/>
      <c r="K1073" s="5"/>
      <c r="L1073" s="24"/>
      <c r="M1073" s="31" t="str">
        <f t="shared" si="15"/>
        <v/>
      </c>
      <c r="N1073" s="7" t="str">
        <f t="shared" si="16"/>
        <v/>
      </c>
      <c r="O1073" s="8" t="str">
        <f>IF(J1073="","",M1073/L1073)</f>
        <v/>
      </c>
      <c r="P1073" s="9" t="str">
        <f>IF(O1073="","",(O1073/(N1073)*365))</f>
        <v/>
      </c>
      <c r="Q1073" s="10"/>
    </row>
    <row r="1074" spans="1:17" x14ac:dyDescent="0.15">
      <c r="A1074" s="21"/>
      <c r="B1074" s="20"/>
      <c r="C1074" s="20"/>
      <c r="D1074" s="20"/>
      <c r="E1074" s="28"/>
      <c r="F1074" s="21"/>
      <c r="G1074" s="22"/>
      <c r="H1074" s="11"/>
      <c r="I1074" s="15"/>
      <c r="J1074" s="15"/>
      <c r="K1074" s="14"/>
      <c r="L1074" s="22"/>
      <c r="M1074" s="32" t="str">
        <f t="shared" si="15"/>
        <v/>
      </c>
      <c r="N1074" s="16" t="str">
        <f t="shared" si="16"/>
        <v/>
      </c>
      <c r="O1074" s="17" t="str">
        <f>IF(J1074="","",M1074/L1074)</f>
        <v/>
      </c>
      <c r="P1074" s="18" t="str">
        <f>IF(O1074="","",(O1074/(N1074)*365))</f>
        <v/>
      </c>
      <c r="Q1074" s="19"/>
    </row>
    <row r="1075" spans="1:17" x14ac:dyDescent="0.15">
      <c r="A1075" s="23"/>
      <c r="B1075" s="3"/>
      <c r="C1075" s="3"/>
      <c r="D1075" s="3"/>
      <c r="E1075" s="29"/>
      <c r="F1075" s="23"/>
      <c r="G1075" s="24"/>
      <c r="H1075" s="1"/>
      <c r="I1075" s="6"/>
      <c r="J1075" s="6"/>
      <c r="K1075" s="5"/>
      <c r="L1075" s="24"/>
      <c r="M1075" s="31" t="str">
        <f t="shared" si="15"/>
        <v/>
      </c>
      <c r="N1075" s="7" t="str">
        <f t="shared" si="16"/>
        <v/>
      </c>
      <c r="O1075" s="8" t="str">
        <f>IF(J1075="","",M1075/L1075)</f>
        <v/>
      </c>
      <c r="P1075" s="9" t="str">
        <f>IF(O1075="","",(O1075/(N1075)*365))</f>
        <v/>
      </c>
      <c r="Q1075" s="10"/>
    </row>
    <row r="1076" spans="1:17" x14ac:dyDescent="0.15">
      <c r="A1076" s="21"/>
      <c r="B1076" s="20"/>
      <c r="C1076" s="20"/>
      <c r="D1076" s="20"/>
      <c r="E1076" s="28"/>
      <c r="F1076" s="21"/>
      <c r="G1076" s="22"/>
      <c r="H1076" s="11"/>
      <c r="I1076" s="15"/>
      <c r="J1076" s="15"/>
      <c r="K1076" s="14"/>
      <c r="L1076" s="22"/>
      <c r="M1076" s="32" t="str">
        <f t="shared" si="15"/>
        <v/>
      </c>
      <c r="N1076" s="16" t="str">
        <f t="shared" si="16"/>
        <v/>
      </c>
      <c r="O1076" s="17" t="str">
        <f>IF(J1076="","",M1076/L1076)</f>
        <v/>
      </c>
      <c r="P1076" s="18" t="str">
        <f>IF(O1076="","",(O1076/(N1076)*365))</f>
        <v/>
      </c>
      <c r="Q1076" s="19"/>
    </row>
    <row r="1077" spans="1:17" x14ac:dyDescent="0.15">
      <c r="A1077" s="23"/>
      <c r="B1077" s="3"/>
      <c r="C1077" s="3"/>
      <c r="D1077" s="3"/>
      <c r="E1077" s="29"/>
      <c r="F1077" s="23"/>
      <c r="G1077" s="24"/>
      <c r="H1077" s="1"/>
      <c r="I1077" s="6"/>
      <c r="J1077" s="6"/>
      <c r="K1077" s="5"/>
      <c r="L1077" s="24"/>
      <c r="M1077" s="31" t="str">
        <f t="shared" si="15"/>
        <v/>
      </c>
      <c r="N1077" s="7" t="str">
        <f t="shared" si="16"/>
        <v/>
      </c>
      <c r="O1077" s="8" t="str">
        <f>IF(J1077="","",M1077/L1077)</f>
        <v/>
      </c>
      <c r="P1077" s="9" t="str">
        <f>IF(O1077="","",(O1077/(N1077)*365))</f>
        <v/>
      </c>
      <c r="Q1077" s="10"/>
    </row>
    <row r="1078" spans="1:17" x14ac:dyDescent="0.15">
      <c r="A1078" s="21"/>
      <c r="B1078" s="20"/>
      <c r="C1078" s="20"/>
      <c r="D1078" s="20"/>
      <c r="E1078" s="28"/>
      <c r="F1078" s="21"/>
      <c r="G1078" s="22"/>
      <c r="H1078" s="11"/>
      <c r="I1078" s="15"/>
      <c r="J1078" s="15"/>
      <c r="K1078" s="14"/>
      <c r="L1078" s="22"/>
      <c r="M1078" s="32" t="str">
        <f t="shared" si="15"/>
        <v/>
      </c>
      <c r="N1078" s="16" t="str">
        <f t="shared" si="16"/>
        <v/>
      </c>
      <c r="O1078" s="17" t="str">
        <f>IF(J1078="","",M1078/L1078)</f>
        <v/>
      </c>
      <c r="P1078" s="18" t="str">
        <f>IF(O1078="","",(O1078/(N1078)*365))</f>
        <v/>
      </c>
      <c r="Q1078" s="19"/>
    </row>
    <row r="1079" spans="1:17" x14ac:dyDescent="0.15">
      <c r="A1079" s="23"/>
      <c r="B1079" s="3"/>
      <c r="C1079" s="3"/>
      <c r="D1079" s="3"/>
      <c r="E1079" s="29"/>
      <c r="F1079" s="23"/>
      <c r="G1079" s="24"/>
      <c r="H1079" s="1"/>
      <c r="I1079" s="6"/>
      <c r="J1079" s="6"/>
      <c r="K1079" s="5"/>
      <c r="L1079" s="24"/>
      <c r="M1079" s="31" t="str">
        <f t="shared" si="15"/>
        <v/>
      </c>
      <c r="N1079" s="7" t="str">
        <f t="shared" si="16"/>
        <v/>
      </c>
      <c r="O1079" s="8" t="str">
        <f>IF(J1079="","",M1079/L1079)</f>
        <v/>
      </c>
      <c r="P1079" s="9" t="str">
        <f>IF(O1079="","",(O1079/(N1079)*365))</f>
        <v/>
      </c>
      <c r="Q1079" s="10"/>
    </row>
    <row r="1080" spans="1:17" x14ac:dyDescent="0.15">
      <c r="A1080" s="21"/>
      <c r="B1080" s="20"/>
      <c r="C1080" s="20"/>
      <c r="D1080" s="20"/>
      <c r="E1080" s="28"/>
      <c r="F1080" s="21"/>
      <c r="G1080" s="22"/>
      <c r="H1080" s="11"/>
      <c r="I1080" s="15"/>
      <c r="J1080" s="15"/>
      <c r="K1080" s="14"/>
      <c r="L1080" s="22"/>
      <c r="M1080" s="32" t="str">
        <f t="shared" si="15"/>
        <v/>
      </c>
      <c r="N1080" s="16" t="str">
        <f t="shared" si="16"/>
        <v/>
      </c>
      <c r="O1080" s="17" t="str">
        <f>IF(J1080="","",M1080/L1080)</f>
        <v/>
      </c>
      <c r="P1080" s="18" t="str">
        <f>IF(O1080="","",(O1080/(N1080)*365))</f>
        <v/>
      </c>
      <c r="Q1080" s="19"/>
    </row>
    <row r="1081" spans="1:17" x14ac:dyDescent="0.15">
      <c r="A1081" s="23"/>
      <c r="B1081" s="3"/>
      <c r="C1081" s="3"/>
      <c r="D1081" s="3"/>
      <c r="E1081" s="29"/>
      <c r="F1081" s="23"/>
      <c r="G1081" s="24"/>
      <c r="H1081" s="1"/>
      <c r="I1081" s="6"/>
      <c r="J1081" s="6"/>
      <c r="K1081" s="5"/>
      <c r="L1081" s="24"/>
      <c r="M1081" s="31" t="str">
        <f t="shared" si="15"/>
        <v/>
      </c>
      <c r="N1081" s="7" t="str">
        <f t="shared" si="16"/>
        <v/>
      </c>
      <c r="O1081" s="8" t="str">
        <f>IF(J1081="","",M1081/L1081)</f>
        <v/>
      </c>
      <c r="P1081" s="9" t="str">
        <f>IF(O1081="","",(O1081/(N1081)*365))</f>
        <v/>
      </c>
      <c r="Q1081" s="10"/>
    </row>
    <row r="1082" spans="1:17" x14ac:dyDescent="0.15">
      <c r="A1082" s="21"/>
      <c r="B1082" s="20"/>
      <c r="C1082" s="20"/>
      <c r="D1082" s="20"/>
      <c r="E1082" s="28"/>
      <c r="F1082" s="21"/>
      <c r="G1082" s="22"/>
      <c r="H1082" s="11"/>
      <c r="I1082" s="15"/>
      <c r="J1082" s="15"/>
      <c r="K1082" s="14"/>
      <c r="L1082" s="22"/>
      <c r="M1082" s="32" t="str">
        <f t="shared" si="15"/>
        <v/>
      </c>
      <c r="N1082" s="16" t="str">
        <f t="shared" si="16"/>
        <v/>
      </c>
      <c r="O1082" s="17" t="str">
        <f>IF(J1082="","",M1082/L1082)</f>
        <v/>
      </c>
      <c r="P1082" s="18" t="str">
        <f>IF(O1082="","",(O1082/(N1082)*365))</f>
        <v/>
      </c>
      <c r="Q1082" s="19"/>
    </row>
    <row r="1083" spans="1:17" x14ac:dyDescent="0.15">
      <c r="A1083" s="23"/>
      <c r="B1083" s="3"/>
      <c r="C1083" s="3"/>
      <c r="D1083" s="3"/>
      <c r="E1083" s="29"/>
      <c r="F1083" s="23"/>
      <c r="G1083" s="24"/>
      <c r="H1083" s="1"/>
      <c r="I1083" s="6"/>
      <c r="J1083" s="6"/>
      <c r="K1083" s="5"/>
      <c r="L1083" s="24"/>
      <c r="M1083" s="31" t="str">
        <f t="shared" si="15"/>
        <v/>
      </c>
      <c r="N1083" s="7" t="str">
        <f t="shared" si="16"/>
        <v/>
      </c>
      <c r="O1083" s="8" t="str">
        <f>IF(J1083="","",M1083/L1083)</f>
        <v/>
      </c>
      <c r="P1083" s="9" t="str">
        <f>IF(O1083="","",(O1083/(N1083)*365))</f>
        <v/>
      </c>
      <c r="Q1083" s="10"/>
    </row>
    <row r="1084" spans="1:17" x14ac:dyDescent="0.15">
      <c r="A1084" s="21"/>
      <c r="B1084" s="20"/>
      <c r="C1084" s="20"/>
      <c r="D1084" s="20"/>
      <c r="E1084" s="28"/>
      <c r="F1084" s="21"/>
      <c r="G1084" s="22"/>
      <c r="H1084" s="11"/>
      <c r="I1084" s="15"/>
      <c r="J1084" s="15"/>
      <c r="K1084" s="14"/>
      <c r="L1084" s="22"/>
      <c r="M1084" s="32" t="str">
        <f t="shared" si="15"/>
        <v/>
      </c>
      <c r="N1084" s="16" t="str">
        <f t="shared" si="16"/>
        <v/>
      </c>
      <c r="O1084" s="17" t="str">
        <f>IF(J1084="","",M1084/L1084)</f>
        <v/>
      </c>
      <c r="P1084" s="18" t="str">
        <f>IF(O1084="","",(O1084/(N1084)*365))</f>
        <v/>
      </c>
      <c r="Q1084" s="19"/>
    </row>
    <row r="1085" spans="1:17" x14ac:dyDescent="0.15">
      <c r="A1085" s="23"/>
      <c r="B1085" s="3"/>
      <c r="C1085" s="3"/>
      <c r="D1085" s="3"/>
      <c r="E1085" s="29"/>
      <c r="F1085" s="23"/>
      <c r="G1085" s="24"/>
      <c r="H1085" s="1"/>
      <c r="I1085" s="6"/>
      <c r="J1085" s="6"/>
      <c r="K1085" s="5"/>
      <c r="L1085" s="24"/>
      <c r="M1085" s="31" t="str">
        <f t="shared" si="15"/>
        <v/>
      </c>
      <c r="N1085" s="7" t="str">
        <f t="shared" si="16"/>
        <v/>
      </c>
      <c r="O1085" s="8" t="str">
        <f>IF(J1085="","",M1085/L1085)</f>
        <v/>
      </c>
      <c r="P1085" s="9" t="str">
        <f>IF(O1085="","",(O1085/(N1085)*365))</f>
        <v/>
      </c>
      <c r="Q1085" s="10"/>
    </row>
    <row r="1086" spans="1:17" x14ac:dyDescent="0.15">
      <c r="A1086" s="21"/>
      <c r="B1086" s="20"/>
      <c r="C1086" s="20"/>
      <c r="D1086" s="20"/>
      <c r="E1086" s="28"/>
      <c r="F1086" s="21"/>
      <c r="G1086" s="22"/>
      <c r="H1086" s="11"/>
      <c r="I1086" s="15"/>
      <c r="J1086" s="15"/>
      <c r="K1086" s="14"/>
      <c r="L1086" s="22"/>
      <c r="M1086" s="32" t="str">
        <f t="shared" si="15"/>
        <v/>
      </c>
      <c r="N1086" s="16" t="str">
        <f t="shared" si="16"/>
        <v/>
      </c>
      <c r="O1086" s="17" t="str">
        <f>IF(J1086="","",M1086/L1086)</f>
        <v/>
      </c>
      <c r="P1086" s="18" t="str">
        <f>IF(O1086="","",(O1086/(N1086)*365))</f>
        <v/>
      </c>
      <c r="Q1086" s="19"/>
    </row>
    <row r="1087" spans="1:17" x14ac:dyDescent="0.15">
      <c r="A1087" s="23"/>
      <c r="B1087" s="3"/>
      <c r="C1087" s="3"/>
      <c r="D1087" s="3"/>
      <c r="E1087" s="29"/>
      <c r="F1087" s="23"/>
      <c r="G1087" s="24"/>
      <c r="H1087" s="1"/>
      <c r="I1087" s="6"/>
      <c r="J1087" s="6"/>
      <c r="K1087" s="5"/>
      <c r="L1087" s="24"/>
      <c r="M1087" s="31" t="str">
        <f t="shared" si="15"/>
        <v/>
      </c>
      <c r="N1087" s="7" t="str">
        <f t="shared" si="16"/>
        <v/>
      </c>
      <c r="O1087" s="8" t="str">
        <f>IF(J1087="","",M1087/L1087)</f>
        <v/>
      </c>
      <c r="P1087" s="9" t="str">
        <f>IF(O1087="","",(O1087/(N1087)*365))</f>
        <v/>
      </c>
      <c r="Q1087" s="10"/>
    </row>
    <row r="1088" spans="1:17" x14ac:dyDescent="0.15">
      <c r="A1088" s="21"/>
      <c r="B1088" s="20"/>
      <c r="C1088" s="20"/>
      <c r="D1088" s="20"/>
      <c r="E1088" s="28"/>
      <c r="F1088" s="21"/>
      <c r="G1088" s="22"/>
      <c r="H1088" s="11"/>
      <c r="I1088" s="15"/>
      <c r="J1088" s="15"/>
      <c r="K1088" s="14"/>
      <c r="L1088" s="22"/>
      <c r="M1088" s="32" t="str">
        <f t="shared" si="15"/>
        <v/>
      </c>
      <c r="N1088" s="16" t="str">
        <f t="shared" si="16"/>
        <v/>
      </c>
      <c r="O1088" s="17" t="str">
        <f>IF(J1088="","",M1088/L1088)</f>
        <v/>
      </c>
      <c r="P1088" s="18" t="str">
        <f>IF(O1088="","",(O1088/(N1088)*365))</f>
        <v/>
      </c>
      <c r="Q1088" s="19"/>
    </row>
    <row r="1089" spans="1:17" x14ac:dyDescent="0.15">
      <c r="A1089" s="23"/>
      <c r="B1089" s="3"/>
      <c r="C1089" s="3"/>
      <c r="D1089" s="3"/>
      <c r="E1089" s="29"/>
      <c r="F1089" s="23"/>
      <c r="G1089" s="24"/>
      <c r="H1089" s="1"/>
      <c r="I1089" s="6"/>
      <c r="J1089" s="6"/>
      <c r="K1089" s="5"/>
      <c r="L1089" s="24"/>
      <c r="M1089" s="31" t="str">
        <f t="shared" si="15"/>
        <v/>
      </c>
      <c r="N1089" s="7" t="str">
        <f t="shared" si="16"/>
        <v/>
      </c>
      <c r="O1089" s="8" t="str">
        <f>IF(J1089="","",M1089/L1089)</f>
        <v/>
      </c>
      <c r="P1089" s="9" t="str">
        <f>IF(O1089="","",(O1089/(N1089)*365))</f>
        <v/>
      </c>
      <c r="Q1089" s="10"/>
    </row>
    <row r="1090" spans="1:17" x14ac:dyDescent="0.15">
      <c r="A1090" s="21"/>
      <c r="B1090" s="20"/>
      <c r="C1090" s="20"/>
      <c r="D1090" s="20"/>
      <c r="E1090" s="28"/>
      <c r="F1090" s="21"/>
      <c r="G1090" s="22"/>
      <c r="H1090" s="11"/>
      <c r="I1090" s="15"/>
      <c r="J1090" s="15"/>
      <c r="K1090" s="14"/>
      <c r="L1090" s="22"/>
      <c r="M1090" s="32" t="str">
        <f t="shared" si="15"/>
        <v/>
      </c>
      <c r="N1090" s="16" t="str">
        <f t="shared" si="16"/>
        <v/>
      </c>
      <c r="O1090" s="17" t="str">
        <f>IF(J1090="","",M1090/L1090)</f>
        <v/>
      </c>
      <c r="P1090" s="18" t="str">
        <f>IF(O1090="","",(O1090/(N1090)*365))</f>
        <v/>
      </c>
      <c r="Q1090" s="19"/>
    </row>
    <row r="1091" spans="1:17" x14ac:dyDescent="0.15">
      <c r="A1091" s="23"/>
      <c r="B1091" s="3"/>
      <c r="C1091" s="3"/>
      <c r="D1091" s="3"/>
      <c r="E1091" s="29"/>
      <c r="F1091" s="23"/>
      <c r="G1091" s="24"/>
      <c r="H1091" s="1"/>
      <c r="I1091" s="6"/>
      <c r="J1091" s="6"/>
      <c r="K1091" s="5"/>
      <c r="L1091" s="24"/>
      <c r="M1091" s="31" t="str">
        <f t="shared" si="15"/>
        <v/>
      </c>
      <c r="N1091" s="7" t="str">
        <f t="shared" si="16"/>
        <v/>
      </c>
      <c r="O1091" s="8" t="str">
        <f>IF(J1091="","",M1091/L1091)</f>
        <v/>
      </c>
      <c r="P1091" s="9" t="str">
        <f>IF(O1091="","",(O1091/(N1091)*365))</f>
        <v/>
      </c>
      <c r="Q1091" s="10"/>
    </row>
    <row r="1092" spans="1:17" x14ac:dyDescent="0.15">
      <c r="A1092" s="21"/>
      <c r="B1092" s="20"/>
      <c r="C1092" s="20"/>
      <c r="D1092" s="20"/>
      <c r="E1092" s="28"/>
      <c r="F1092" s="21"/>
      <c r="G1092" s="22"/>
      <c r="H1092" s="11"/>
      <c r="I1092" s="15"/>
      <c r="J1092" s="15"/>
      <c r="K1092" s="14"/>
      <c r="L1092" s="22"/>
      <c r="M1092" s="32" t="str">
        <f t="shared" si="15"/>
        <v/>
      </c>
      <c r="N1092" s="16" t="str">
        <f t="shared" si="16"/>
        <v/>
      </c>
      <c r="O1092" s="17" t="str">
        <f>IF(J1092="","",M1092/L1092)</f>
        <v/>
      </c>
      <c r="P1092" s="18" t="str">
        <f>IF(O1092="","",(O1092/(N1092)*365))</f>
        <v/>
      </c>
      <c r="Q1092" s="19"/>
    </row>
    <row r="1093" spans="1:17" x14ac:dyDescent="0.15">
      <c r="A1093" s="23"/>
      <c r="B1093" s="3"/>
      <c r="C1093" s="3"/>
      <c r="D1093" s="3"/>
      <c r="E1093" s="29"/>
      <c r="F1093" s="23"/>
      <c r="G1093" s="24"/>
      <c r="H1093" s="1"/>
      <c r="I1093" s="6"/>
      <c r="J1093" s="6"/>
      <c r="K1093" s="5"/>
      <c r="L1093" s="24"/>
      <c r="M1093" s="31" t="str">
        <f t="shared" si="15"/>
        <v/>
      </c>
      <c r="N1093" s="7" t="str">
        <f t="shared" si="16"/>
        <v/>
      </c>
      <c r="O1093" s="8" t="str">
        <f>IF(J1093="","",M1093/L1093)</f>
        <v/>
      </c>
      <c r="P1093" s="9" t="str">
        <f>IF(O1093="","",(O1093/(N1093)*365))</f>
        <v/>
      </c>
      <c r="Q1093" s="10"/>
    </row>
    <row r="1094" spans="1:17" x14ac:dyDescent="0.15">
      <c r="A1094" s="21"/>
      <c r="B1094" s="20"/>
      <c r="C1094" s="20"/>
      <c r="D1094" s="20"/>
      <c r="E1094" s="28"/>
      <c r="F1094" s="21"/>
      <c r="G1094" s="22"/>
      <c r="H1094" s="11"/>
      <c r="I1094" s="15"/>
      <c r="J1094" s="15"/>
      <c r="K1094" s="14"/>
      <c r="L1094" s="22"/>
      <c r="M1094" s="32" t="str">
        <f t="shared" si="15"/>
        <v/>
      </c>
      <c r="N1094" s="16" t="str">
        <f t="shared" si="16"/>
        <v/>
      </c>
      <c r="O1094" s="17" t="str">
        <f>IF(J1094="","",M1094/L1094)</f>
        <v/>
      </c>
      <c r="P1094" s="18" t="str">
        <f>IF(O1094="","",(O1094/(N1094)*365))</f>
        <v/>
      </c>
      <c r="Q1094" s="19"/>
    </row>
    <row r="1095" spans="1:17" x14ac:dyDescent="0.15">
      <c r="A1095" s="23"/>
      <c r="B1095" s="3"/>
      <c r="C1095" s="3"/>
      <c r="D1095" s="3"/>
      <c r="E1095" s="29"/>
      <c r="F1095" s="23"/>
      <c r="G1095" s="24"/>
      <c r="H1095" s="1"/>
      <c r="I1095" s="6"/>
      <c r="J1095" s="6"/>
      <c r="K1095" s="5"/>
      <c r="L1095" s="24"/>
      <c r="M1095" s="31" t="str">
        <f t="shared" si="15"/>
        <v/>
      </c>
      <c r="N1095" s="7" t="str">
        <f t="shared" si="16"/>
        <v/>
      </c>
      <c r="O1095" s="8" t="str">
        <f>IF(J1095="","",M1095/L1095)</f>
        <v/>
      </c>
      <c r="P1095" s="9" t="str">
        <f>IF(O1095="","",(O1095/(N1095)*365))</f>
        <v/>
      </c>
      <c r="Q1095" s="10"/>
    </row>
    <row r="1096" spans="1:17" x14ac:dyDescent="0.15">
      <c r="A1096" s="21"/>
      <c r="B1096" s="20"/>
      <c r="C1096" s="20"/>
      <c r="D1096" s="20"/>
      <c r="E1096" s="28"/>
      <c r="F1096" s="21"/>
      <c r="G1096" s="22"/>
      <c r="H1096" s="11"/>
      <c r="I1096" s="15"/>
      <c r="J1096" s="15"/>
      <c r="K1096" s="14"/>
      <c r="L1096" s="22"/>
      <c r="M1096" s="32" t="str">
        <f t="shared" si="15"/>
        <v/>
      </c>
      <c r="N1096" s="16" t="str">
        <f t="shared" si="16"/>
        <v/>
      </c>
      <c r="O1096" s="17" t="str">
        <f>IF(J1096="","",M1096/L1096)</f>
        <v/>
      </c>
      <c r="P1096" s="18" t="str">
        <f>IF(O1096="","",(O1096/(N1096)*365))</f>
        <v/>
      </c>
      <c r="Q1096" s="19"/>
    </row>
    <row r="1097" spans="1:17" x14ac:dyDescent="0.15">
      <c r="A1097" s="23"/>
      <c r="B1097" s="3"/>
      <c r="C1097" s="3"/>
      <c r="D1097" s="3"/>
      <c r="E1097" s="29"/>
      <c r="F1097" s="23"/>
      <c r="G1097" s="24"/>
      <c r="H1097" s="1"/>
      <c r="I1097" s="6"/>
      <c r="J1097" s="6"/>
      <c r="K1097" s="5"/>
      <c r="L1097" s="24"/>
      <c r="M1097" s="31" t="str">
        <f t="shared" si="15"/>
        <v/>
      </c>
      <c r="N1097" s="7" t="str">
        <f t="shared" si="16"/>
        <v/>
      </c>
      <c r="O1097" s="8" t="str">
        <f>IF(J1097="","",M1097/L1097)</f>
        <v/>
      </c>
      <c r="P1097" s="9" t="str">
        <f>IF(O1097="","",(O1097/(N1097)*365))</f>
        <v/>
      </c>
      <c r="Q1097" s="10"/>
    </row>
    <row r="1098" spans="1:17" x14ac:dyDescent="0.15">
      <c r="A1098" s="21"/>
      <c r="B1098" s="20"/>
      <c r="C1098" s="20"/>
      <c r="D1098" s="20"/>
      <c r="E1098" s="28"/>
      <c r="F1098" s="21"/>
      <c r="G1098" s="22"/>
      <c r="H1098" s="11"/>
      <c r="I1098" s="15"/>
      <c r="J1098" s="15"/>
      <c r="K1098" s="14"/>
      <c r="L1098" s="22"/>
      <c r="M1098" s="32" t="str">
        <f t="shared" si="15"/>
        <v/>
      </c>
      <c r="N1098" s="16" t="str">
        <f t="shared" si="16"/>
        <v/>
      </c>
      <c r="O1098" s="17" t="str">
        <f>IF(J1098="","",M1098/L1098)</f>
        <v/>
      </c>
      <c r="P1098" s="18" t="str">
        <f>IF(O1098="","",(O1098/(N1098)*365))</f>
        <v/>
      </c>
      <c r="Q1098" s="19"/>
    </row>
    <row r="1099" spans="1:17" x14ac:dyDescent="0.15">
      <c r="A1099" s="23"/>
      <c r="B1099" s="3"/>
      <c r="C1099" s="3"/>
      <c r="D1099" s="3"/>
      <c r="E1099" s="29"/>
      <c r="F1099" s="23"/>
      <c r="G1099" s="24"/>
      <c r="H1099" s="1"/>
      <c r="I1099" s="6"/>
      <c r="J1099" s="6"/>
      <c r="K1099" s="5"/>
      <c r="L1099" s="24"/>
      <c r="M1099" s="31" t="str">
        <f t="shared" si="15"/>
        <v/>
      </c>
      <c r="N1099" s="7" t="str">
        <f t="shared" si="16"/>
        <v/>
      </c>
      <c r="O1099" s="8" t="str">
        <f>IF(J1099="","",M1099/L1099)</f>
        <v/>
      </c>
      <c r="P1099" s="9" t="str">
        <f>IF(O1099="","",(O1099/(N1099)*365))</f>
        <v/>
      </c>
      <c r="Q1099" s="10"/>
    </row>
    <row r="1100" spans="1:17" x14ac:dyDescent="0.15">
      <c r="A1100" s="21"/>
      <c r="B1100" s="20"/>
      <c r="C1100" s="20"/>
      <c r="D1100" s="20"/>
      <c r="E1100" s="28"/>
      <c r="F1100" s="21"/>
      <c r="G1100" s="22"/>
      <c r="H1100" s="11"/>
      <c r="I1100" s="15"/>
      <c r="J1100" s="15"/>
      <c r="K1100" s="14"/>
      <c r="L1100" s="22"/>
      <c r="M1100" s="32" t="str">
        <f t="shared" si="15"/>
        <v/>
      </c>
      <c r="N1100" s="16" t="str">
        <f t="shared" si="16"/>
        <v/>
      </c>
      <c r="O1100" s="17" t="str">
        <f>IF(J1100="","",M1100/L1100)</f>
        <v/>
      </c>
      <c r="P1100" s="18" t="str">
        <f>IF(O1100="","",(O1100/(N1100)*365))</f>
        <v/>
      </c>
      <c r="Q1100" s="19"/>
    </row>
    <row r="1101" spans="1:17" x14ac:dyDescent="0.15">
      <c r="A1101" s="23"/>
      <c r="B1101" s="3"/>
      <c r="C1101" s="3"/>
      <c r="D1101" s="3"/>
      <c r="E1101" s="29"/>
      <c r="F1101" s="23"/>
      <c r="G1101" s="24"/>
      <c r="H1101" s="1"/>
      <c r="I1101" s="6"/>
      <c r="J1101" s="6"/>
      <c r="K1101" s="5"/>
      <c r="L1101" s="24"/>
      <c r="M1101" s="31" t="str">
        <f t="shared" si="15"/>
        <v/>
      </c>
      <c r="N1101" s="7" t="str">
        <f t="shared" si="16"/>
        <v/>
      </c>
      <c r="O1101" s="8" t="str">
        <f>IF(J1101="","",M1101/L1101)</f>
        <v/>
      </c>
      <c r="P1101" s="9" t="str">
        <f>IF(O1101="","",(O1101/(N1101)*365))</f>
        <v/>
      </c>
      <c r="Q1101" s="10"/>
    </row>
    <row r="1102" spans="1:17" x14ac:dyDescent="0.15">
      <c r="A1102" s="21"/>
      <c r="B1102" s="20"/>
      <c r="C1102" s="20"/>
      <c r="D1102" s="20"/>
      <c r="E1102" s="28"/>
      <c r="F1102" s="21"/>
      <c r="G1102" s="22"/>
      <c r="H1102" s="11"/>
      <c r="I1102" s="15"/>
      <c r="J1102" s="15"/>
      <c r="K1102" s="14"/>
      <c r="L1102" s="22"/>
      <c r="M1102" s="32" t="str">
        <f t="shared" si="15"/>
        <v/>
      </c>
      <c r="N1102" s="16" t="str">
        <f t="shared" si="16"/>
        <v/>
      </c>
      <c r="O1102" s="17" t="str">
        <f>IF(J1102="","",M1102/L1102)</f>
        <v/>
      </c>
      <c r="P1102" s="18" t="str">
        <f>IF(O1102="","",(O1102/(N1102)*365))</f>
        <v/>
      </c>
      <c r="Q1102" s="19"/>
    </row>
    <row r="1103" spans="1:17" x14ac:dyDescent="0.15">
      <c r="A1103" s="23"/>
      <c r="B1103" s="3"/>
      <c r="C1103" s="3"/>
      <c r="D1103" s="3"/>
      <c r="E1103" s="29"/>
      <c r="F1103" s="23"/>
      <c r="G1103" s="24"/>
      <c r="H1103" s="1"/>
      <c r="I1103" s="6"/>
      <c r="J1103" s="6"/>
      <c r="K1103" s="5"/>
      <c r="L1103" s="24"/>
      <c r="M1103" s="31" t="str">
        <f t="shared" si="15"/>
        <v/>
      </c>
      <c r="N1103" s="7" t="str">
        <f t="shared" si="16"/>
        <v/>
      </c>
      <c r="O1103" s="8" t="str">
        <f>IF(J1103="","",M1103/L1103)</f>
        <v/>
      </c>
      <c r="P1103" s="9" t="str">
        <f>IF(O1103="","",(O1103/(N1103)*365))</f>
        <v/>
      </c>
      <c r="Q1103" s="10"/>
    </row>
    <row r="1104" spans="1:17" x14ac:dyDescent="0.15">
      <c r="A1104" s="21"/>
      <c r="B1104" s="20"/>
      <c r="C1104" s="20"/>
      <c r="D1104" s="20"/>
      <c r="E1104" s="28"/>
      <c r="F1104" s="21"/>
      <c r="G1104" s="22"/>
      <c r="H1104" s="11"/>
      <c r="I1104" s="15"/>
      <c r="J1104" s="15"/>
      <c r="K1104" s="14"/>
      <c r="L1104" s="22"/>
      <c r="M1104" s="32" t="str">
        <f t="shared" si="15"/>
        <v/>
      </c>
      <c r="N1104" s="16" t="str">
        <f t="shared" si="16"/>
        <v/>
      </c>
      <c r="O1104" s="17" t="str">
        <f>IF(J1104="","",M1104/L1104)</f>
        <v/>
      </c>
      <c r="P1104" s="18" t="str">
        <f>IF(O1104="","",(O1104/(N1104)*365))</f>
        <v/>
      </c>
      <c r="Q1104" s="19"/>
    </row>
    <row r="1105" spans="1:17" x14ac:dyDescent="0.15">
      <c r="A1105" s="23"/>
      <c r="B1105" s="3"/>
      <c r="C1105" s="3"/>
      <c r="D1105" s="3"/>
      <c r="E1105" s="29"/>
      <c r="F1105" s="23"/>
      <c r="G1105" s="24"/>
      <c r="H1105" s="1"/>
      <c r="I1105" s="6"/>
      <c r="J1105" s="6"/>
      <c r="K1105" s="5"/>
      <c r="L1105" s="24"/>
      <c r="M1105" s="31" t="str">
        <f t="shared" si="15"/>
        <v/>
      </c>
      <c r="N1105" s="7" t="str">
        <f t="shared" si="16"/>
        <v/>
      </c>
      <c r="O1105" s="8" t="str">
        <f>IF(J1105="","",M1105/L1105)</f>
        <v/>
      </c>
      <c r="P1105" s="9" t="str">
        <f>IF(O1105="","",(O1105/(N1105)*365))</f>
        <v/>
      </c>
      <c r="Q1105" s="10"/>
    </row>
    <row r="1106" spans="1:17" x14ac:dyDescent="0.15">
      <c r="A1106" s="21"/>
      <c r="B1106" s="20"/>
      <c r="C1106" s="20"/>
      <c r="D1106" s="20"/>
      <c r="E1106" s="28"/>
      <c r="F1106" s="21"/>
      <c r="G1106" s="22"/>
      <c r="H1106" s="11"/>
      <c r="I1106" s="15"/>
      <c r="J1106" s="15"/>
      <c r="K1106" s="14"/>
      <c r="L1106" s="22"/>
      <c r="M1106" s="32" t="str">
        <f t="shared" si="15"/>
        <v/>
      </c>
      <c r="N1106" s="16" t="str">
        <f t="shared" si="16"/>
        <v/>
      </c>
      <c r="O1106" s="17" t="str">
        <f>IF(J1106="","",M1106/L1106)</f>
        <v/>
      </c>
      <c r="P1106" s="18" t="str">
        <f>IF(O1106="","",(O1106/(N1106)*365))</f>
        <v/>
      </c>
      <c r="Q1106" s="19"/>
    </row>
    <row r="1107" spans="1:17" x14ac:dyDescent="0.15">
      <c r="A1107" s="23"/>
      <c r="B1107" s="3"/>
      <c r="C1107" s="3"/>
      <c r="D1107" s="3"/>
      <c r="E1107" s="29"/>
      <c r="F1107" s="23"/>
      <c r="G1107" s="24"/>
      <c r="H1107" s="1"/>
      <c r="I1107" s="6"/>
      <c r="J1107" s="6"/>
      <c r="K1107" s="5"/>
      <c r="L1107" s="24"/>
      <c r="M1107" s="31" t="str">
        <f t="shared" si="15"/>
        <v/>
      </c>
      <c r="N1107" s="7" t="str">
        <f t="shared" si="16"/>
        <v/>
      </c>
      <c r="O1107" s="8" t="str">
        <f>IF(J1107="","",M1107/L1107)</f>
        <v/>
      </c>
      <c r="P1107" s="9" t="str">
        <f>IF(O1107="","",(O1107/(N1107)*365))</f>
        <v/>
      </c>
      <c r="Q1107" s="10"/>
    </row>
    <row r="1108" spans="1:17" x14ac:dyDescent="0.15">
      <c r="A1108" s="21"/>
      <c r="B1108" s="20"/>
      <c r="C1108" s="20"/>
      <c r="D1108" s="20"/>
      <c r="E1108" s="28"/>
      <c r="F1108" s="21"/>
      <c r="G1108" s="22"/>
      <c r="H1108" s="11"/>
      <c r="I1108" s="15"/>
      <c r="J1108" s="15"/>
      <c r="K1108" s="14"/>
      <c r="L1108" s="22"/>
      <c r="M1108" s="32" t="str">
        <f t="shared" si="15"/>
        <v/>
      </c>
      <c r="N1108" s="16" t="str">
        <f t="shared" si="16"/>
        <v/>
      </c>
      <c r="O1108" s="17" t="str">
        <f>IF(J1108="","",M1108/L1108)</f>
        <v/>
      </c>
      <c r="P1108" s="18" t="str">
        <f>IF(O1108="","",(O1108/(N1108)*365))</f>
        <v/>
      </c>
      <c r="Q1108" s="19"/>
    </row>
    <row r="1109" spans="1:17" x14ac:dyDescent="0.15">
      <c r="A1109" s="23"/>
      <c r="B1109" s="3"/>
      <c r="C1109" s="3"/>
      <c r="D1109" s="3"/>
      <c r="E1109" s="29"/>
      <c r="F1109" s="23"/>
      <c r="G1109" s="24"/>
      <c r="H1109" s="1"/>
      <c r="I1109" s="6"/>
      <c r="J1109" s="6"/>
      <c r="K1109" s="5"/>
      <c r="L1109" s="24"/>
      <c r="M1109" s="31" t="str">
        <f t="shared" si="15"/>
        <v/>
      </c>
      <c r="N1109" s="7" t="str">
        <f t="shared" si="16"/>
        <v/>
      </c>
      <c r="O1109" s="8" t="str">
        <f>IF(J1109="","",M1109/L1109)</f>
        <v/>
      </c>
      <c r="P1109" s="9" t="str">
        <f>IF(O1109="","",(O1109/(N1109)*365))</f>
        <v/>
      </c>
      <c r="Q1109" s="10"/>
    </row>
    <row r="1110" spans="1:17" x14ac:dyDescent="0.15">
      <c r="A1110" s="21"/>
      <c r="B1110" s="20"/>
      <c r="C1110" s="20"/>
      <c r="D1110" s="20"/>
      <c r="E1110" s="28"/>
      <c r="F1110" s="21"/>
      <c r="G1110" s="22"/>
      <c r="H1110" s="11"/>
      <c r="I1110" s="15"/>
      <c r="J1110" s="15"/>
      <c r="K1110" s="14"/>
      <c r="L1110" s="22"/>
      <c r="M1110" s="32" t="str">
        <f t="shared" si="15"/>
        <v/>
      </c>
      <c r="N1110" s="16" t="str">
        <f t="shared" si="16"/>
        <v/>
      </c>
      <c r="O1110" s="17" t="str">
        <f>IF(J1110="","",M1110/L1110)</f>
        <v/>
      </c>
      <c r="P1110" s="18" t="str">
        <f>IF(O1110="","",(O1110/(N1110)*365))</f>
        <v/>
      </c>
      <c r="Q1110" s="19"/>
    </row>
    <row r="1111" spans="1:17" x14ac:dyDescent="0.15">
      <c r="A1111" s="23"/>
      <c r="B1111" s="3"/>
      <c r="C1111" s="3"/>
      <c r="D1111" s="3"/>
      <c r="E1111" s="29"/>
      <c r="F1111" s="23"/>
      <c r="G1111" s="24"/>
      <c r="H1111" s="1"/>
      <c r="I1111" s="6"/>
      <c r="J1111" s="6"/>
      <c r="K1111" s="5"/>
      <c r="L1111" s="24"/>
      <c r="M1111" s="31" t="str">
        <f t="shared" si="15"/>
        <v/>
      </c>
      <c r="N1111" s="7" t="str">
        <f t="shared" si="16"/>
        <v/>
      </c>
      <c r="O1111" s="8" t="str">
        <f>IF(J1111="","",M1111/L1111)</f>
        <v/>
      </c>
      <c r="P1111" s="9" t="str">
        <f>IF(O1111="","",(O1111/(N1111)*365))</f>
        <v/>
      </c>
      <c r="Q1111" s="10"/>
    </row>
    <row r="1112" spans="1:17" x14ac:dyDescent="0.15">
      <c r="A1112" s="21"/>
      <c r="B1112" s="20"/>
      <c r="C1112" s="20"/>
      <c r="D1112" s="20"/>
      <c r="E1112" s="28"/>
      <c r="F1112" s="21"/>
      <c r="G1112" s="22"/>
      <c r="H1112" s="11"/>
      <c r="I1112" s="15"/>
      <c r="J1112" s="15"/>
      <c r="K1112" s="14"/>
      <c r="L1112" s="22"/>
      <c r="M1112" s="32" t="str">
        <f t="shared" si="15"/>
        <v/>
      </c>
      <c r="N1112" s="16" t="str">
        <f t="shared" si="16"/>
        <v/>
      </c>
      <c r="O1112" s="17" t="str">
        <f>IF(J1112="","",M1112/L1112)</f>
        <v/>
      </c>
      <c r="P1112" s="18" t="str">
        <f>IF(O1112="","",(O1112/(N1112)*365))</f>
        <v/>
      </c>
      <c r="Q1112" s="19"/>
    </row>
    <row r="1113" spans="1:17" x14ac:dyDescent="0.15">
      <c r="A1113" s="23"/>
      <c r="B1113" s="3"/>
      <c r="C1113" s="3"/>
      <c r="D1113" s="3"/>
      <c r="E1113" s="29"/>
      <c r="F1113" s="23"/>
      <c r="G1113" s="24"/>
      <c r="H1113" s="1"/>
      <c r="I1113" s="6"/>
      <c r="J1113" s="6"/>
      <c r="K1113" s="5"/>
      <c r="L1113" s="24"/>
      <c r="M1113" s="31" t="str">
        <f t="shared" si="15"/>
        <v/>
      </c>
      <c r="N1113" s="7" t="str">
        <f t="shared" si="16"/>
        <v/>
      </c>
      <c r="O1113" s="8" t="str">
        <f>IF(J1113="","",M1113/L1113)</f>
        <v/>
      </c>
      <c r="P1113" s="9" t="str">
        <f>IF(O1113="","",(O1113/(N1113)*365))</f>
        <v/>
      </c>
      <c r="Q1113" s="10"/>
    </row>
    <row r="1114" spans="1:17" x14ac:dyDescent="0.15">
      <c r="A1114" s="21"/>
      <c r="B1114" s="20"/>
      <c r="C1114" s="20"/>
      <c r="D1114" s="20"/>
      <c r="E1114" s="28"/>
      <c r="F1114" s="21"/>
      <c r="G1114" s="22"/>
      <c r="H1114" s="11"/>
      <c r="I1114" s="15"/>
      <c r="J1114" s="15"/>
      <c r="K1114" s="14"/>
      <c r="L1114" s="22"/>
      <c r="M1114" s="32" t="str">
        <f t="shared" si="15"/>
        <v/>
      </c>
      <c r="N1114" s="16" t="str">
        <f t="shared" si="16"/>
        <v/>
      </c>
      <c r="O1114" s="17" t="str">
        <f>IF(J1114="","",M1114/L1114)</f>
        <v/>
      </c>
      <c r="P1114" s="18" t="str">
        <f>IF(O1114="","",(O1114/(N1114)*365))</f>
        <v/>
      </c>
      <c r="Q1114" s="19"/>
    </row>
    <row r="1115" spans="1:17" x14ac:dyDescent="0.15">
      <c r="A1115" s="23"/>
      <c r="B1115" s="3"/>
      <c r="C1115" s="3"/>
      <c r="D1115" s="3"/>
      <c r="E1115" s="29"/>
      <c r="F1115" s="23"/>
      <c r="G1115" s="24"/>
      <c r="H1115" s="1"/>
      <c r="I1115" s="6"/>
      <c r="J1115" s="6"/>
      <c r="K1115" s="5"/>
      <c r="L1115" s="24"/>
      <c r="M1115" s="31" t="str">
        <f t="shared" si="15"/>
        <v/>
      </c>
      <c r="N1115" s="7" t="str">
        <f t="shared" si="16"/>
        <v/>
      </c>
      <c r="O1115" s="8" t="str">
        <f>IF(J1115="","",M1115/L1115)</f>
        <v/>
      </c>
      <c r="P1115" s="9" t="str">
        <f>IF(O1115="","",(O1115/(N1115)*365))</f>
        <v/>
      </c>
      <c r="Q1115" s="10"/>
    </row>
    <row r="1116" spans="1:17" x14ac:dyDescent="0.15">
      <c r="A1116" s="21"/>
      <c r="B1116" s="20"/>
      <c r="C1116" s="20"/>
      <c r="D1116" s="20"/>
      <c r="E1116" s="28"/>
      <c r="F1116" s="21"/>
      <c r="G1116" s="22"/>
      <c r="H1116" s="11"/>
      <c r="I1116" s="15"/>
      <c r="J1116" s="15"/>
      <c r="K1116" s="14"/>
      <c r="L1116" s="22"/>
      <c r="M1116" s="32" t="str">
        <f t="shared" si="15"/>
        <v/>
      </c>
      <c r="N1116" s="16" t="str">
        <f t="shared" si="16"/>
        <v/>
      </c>
      <c r="O1116" s="17" t="str">
        <f>IF(J1116="","",M1116/L1116)</f>
        <v/>
      </c>
      <c r="P1116" s="18" t="str">
        <f>IF(O1116="","",(O1116/(N1116)*365))</f>
        <v/>
      </c>
      <c r="Q1116" s="19"/>
    </row>
    <row r="1117" spans="1:17" x14ac:dyDescent="0.15">
      <c r="A1117" s="23"/>
      <c r="B1117" s="3"/>
      <c r="C1117" s="3"/>
      <c r="D1117" s="3"/>
      <c r="E1117" s="29"/>
      <c r="F1117" s="23"/>
      <c r="G1117" s="24"/>
      <c r="H1117" s="1"/>
      <c r="I1117" s="6"/>
      <c r="J1117" s="6"/>
      <c r="K1117" s="5"/>
      <c r="L1117" s="24"/>
      <c r="M1117" s="31" t="str">
        <f t="shared" si="15"/>
        <v/>
      </c>
      <c r="N1117" s="7" t="str">
        <f t="shared" si="16"/>
        <v/>
      </c>
      <c r="O1117" s="8" t="str">
        <f>IF(J1117="","",M1117/L1117)</f>
        <v/>
      </c>
      <c r="P1117" s="9" t="str">
        <f>IF(O1117="","",(O1117/(N1117)*365))</f>
        <v/>
      </c>
      <c r="Q1117" s="10"/>
    </row>
    <row r="1118" spans="1:17" x14ac:dyDescent="0.15">
      <c r="A1118" s="21"/>
      <c r="B1118" s="20"/>
      <c r="C1118" s="20"/>
      <c r="D1118" s="20"/>
      <c r="E1118" s="28"/>
      <c r="F1118" s="21"/>
      <c r="G1118" s="22"/>
      <c r="H1118" s="30"/>
      <c r="I1118" s="15"/>
      <c r="J1118" s="15"/>
      <c r="K1118" s="14"/>
      <c r="L1118" s="22"/>
      <c r="M1118" s="32" t="str">
        <f t="shared" si="15"/>
        <v/>
      </c>
      <c r="N1118" s="16" t="str">
        <f t="shared" si="16"/>
        <v/>
      </c>
      <c r="O1118" s="17" t="str">
        <f>IF(J1118="","",M1118/L1118)</f>
        <v/>
      </c>
      <c r="P1118" s="18" t="str">
        <f>IF(O1118="","",(O1118/(N1118)*365))</f>
        <v/>
      </c>
      <c r="Q1118" s="19"/>
    </row>
    <row r="1119" spans="1:17" x14ac:dyDescent="0.15">
      <c r="A1119" s="23"/>
      <c r="B1119" s="3"/>
      <c r="C1119" s="3"/>
      <c r="D1119" s="3"/>
      <c r="E1119" s="29"/>
      <c r="F1119" s="23"/>
      <c r="G1119" s="24"/>
      <c r="H1119" s="1"/>
      <c r="I1119" s="6"/>
      <c r="J1119" s="6"/>
      <c r="K1119" s="5"/>
      <c r="L1119" s="24"/>
      <c r="M1119" s="31" t="str">
        <f t="shared" si="15"/>
        <v/>
      </c>
      <c r="N1119" s="7" t="str">
        <f t="shared" si="16"/>
        <v/>
      </c>
      <c r="O1119" s="8" t="str">
        <f>IF(J1119="","",M1119/L1119)</f>
        <v/>
      </c>
      <c r="P1119" s="9" t="str">
        <f>IF(O1119="","",(O1119/(N1119)*365))</f>
        <v/>
      </c>
      <c r="Q1119" s="10"/>
    </row>
    <row r="1120" spans="1:17" x14ac:dyDescent="0.15">
      <c r="A1120" s="21"/>
      <c r="B1120" s="20"/>
      <c r="C1120" s="20"/>
      <c r="D1120" s="20"/>
      <c r="E1120" s="28"/>
      <c r="F1120" s="21"/>
      <c r="G1120" s="22"/>
      <c r="H1120" s="11"/>
      <c r="I1120" s="15"/>
      <c r="J1120" s="15"/>
      <c r="K1120" s="14"/>
      <c r="L1120" s="22"/>
      <c r="M1120" s="32" t="str">
        <f t="shared" si="15"/>
        <v/>
      </c>
      <c r="N1120" s="16" t="str">
        <f t="shared" si="16"/>
        <v/>
      </c>
      <c r="O1120" s="17" t="str">
        <f>IF(J1120="","",M1120/L1120)</f>
        <v/>
      </c>
      <c r="P1120" s="18" t="str">
        <f>IF(O1120="","",(O1120/(N1120)*365))</f>
        <v/>
      </c>
      <c r="Q1120" s="19"/>
    </row>
    <row r="1121" spans="1:17" x14ac:dyDescent="0.15">
      <c r="A1121" s="23"/>
      <c r="B1121" s="3"/>
      <c r="C1121" s="3"/>
      <c r="D1121" s="3"/>
      <c r="E1121" s="29"/>
      <c r="F1121" s="23"/>
      <c r="G1121" s="24"/>
      <c r="H1121" s="1"/>
      <c r="I1121" s="6"/>
      <c r="J1121" s="6"/>
      <c r="K1121" s="5"/>
      <c r="L1121" s="24"/>
      <c r="M1121" s="31" t="str">
        <f t="shared" si="15"/>
        <v/>
      </c>
      <c r="N1121" s="7" t="str">
        <f t="shared" si="16"/>
        <v/>
      </c>
      <c r="O1121" s="8" t="str">
        <f>IF(J1121="","",M1121/L1121)</f>
        <v/>
      </c>
      <c r="P1121" s="9" t="str">
        <f>IF(O1121="","",(O1121/(N1121)*365))</f>
        <v/>
      </c>
      <c r="Q1121" s="10"/>
    </row>
    <row r="1122" spans="1:17" x14ac:dyDescent="0.15">
      <c r="A1122" s="21"/>
      <c r="B1122" s="20"/>
      <c r="C1122" s="20"/>
      <c r="D1122" s="20"/>
      <c r="E1122" s="28"/>
      <c r="F1122" s="21"/>
      <c r="G1122" s="22"/>
      <c r="H1122" s="11"/>
      <c r="I1122" s="15"/>
      <c r="J1122" s="15"/>
      <c r="K1122" s="14"/>
      <c r="L1122" s="22"/>
      <c r="M1122" s="32" t="str">
        <f t="shared" si="15"/>
        <v/>
      </c>
      <c r="N1122" s="16" t="str">
        <f t="shared" si="16"/>
        <v/>
      </c>
      <c r="O1122" s="17" t="str">
        <f>IF(J1122="","",M1122/L1122)</f>
        <v/>
      </c>
      <c r="P1122" s="18" t="str">
        <f>IF(O1122="","",(O1122/(N1122)*365))</f>
        <v/>
      </c>
      <c r="Q1122" s="19"/>
    </row>
    <row r="1123" spans="1:17" x14ac:dyDescent="0.15">
      <c r="A1123" s="23"/>
      <c r="B1123" s="3"/>
      <c r="C1123" s="3"/>
      <c r="D1123" s="3"/>
      <c r="E1123" s="29"/>
      <c r="F1123" s="23"/>
      <c r="G1123" s="24"/>
      <c r="H1123" s="1"/>
      <c r="I1123" s="6"/>
      <c r="J1123" s="6"/>
      <c r="K1123" s="5"/>
      <c r="L1123" s="24"/>
      <c r="M1123" s="31" t="str">
        <f t="shared" si="15"/>
        <v/>
      </c>
      <c r="N1123" s="7" t="str">
        <f t="shared" si="16"/>
        <v/>
      </c>
      <c r="O1123" s="8" t="str">
        <f>IF(J1123="","",M1123/L1123)</f>
        <v/>
      </c>
      <c r="P1123" s="9" t="str">
        <f>IF(O1123="","",(O1123/(N1123)*365))</f>
        <v/>
      </c>
      <c r="Q1123" s="10"/>
    </row>
    <row r="1124" spans="1:17" x14ac:dyDescent="0.15">
      <c r="A1124" s="21"/>
      <c r="B1124" s="20"/>
      <c r="C1124" s="20"/>
      <c r="D1124" s="20"/>
      <c r="E1124" s="28"/>
      <c r="F1124" s="21"/>
      <c r="G1124" s="22"/>
      <c r="H1124" s="11"/>
      <c r="I1124" s="15"/>
      <c r="J1124" s="15"/>
      <c r="K1124" s="14"/>
      <c r="L1124" s="22"/>
      <c r="M1124" s="32" t="str">
        <f t="shared" si="15"/>
        <v/>
      </c>
      <c r="N1124" s="16" t="str">
        <f t="shared" si="16"/>
        <v/>
      </c>
      <c r="O1124" s="17" t="str">
        <f>IF(J1124="","",M1124/L1124)</f>
        <v/>
      </c>
      <c r="P1124" s="18" t="str">
        <f>IF(O1124="","",(O1124/(N1124)*365))</f>
        <v/>
      </c>
      <c r="Q1124" s="19"/>
    </row>
    <row r="1125" spans="1:17" x14ac:dyDescent="0.15">
      <c r="A1125" s="23"/>
      <c r="B1125" s="3"/>
      <c r="C1125" s="3"/>
      <c r="D1125" s="3"/>
      <c r="E1125" s="29"/>
      <c r="F1125" s="23"/>
      <c r="G1125" s="24"/>
      <c r="H1125" s="1"/>
      <c r="I1125" s="6"/>
      <c r="J1125" s="6"/>
      <c r="K1125" s="5"/>
      <c r="L1125" s="24"/>
      <c r="M1125" s="31" t="str">
        <f t="shared" si="15"/>
        <v/>
      </c>
      <c r="N1125" s="7" t="str">
        <f t="shared" si="16"/>
        <v/>
      </c>
      <c r="O1125" s="8" t="str">
        <f>IF(J1125="","",M1125/L1125)</f>
        <v/>
      </c>
      <c r="P1125" s="9" t="str">
        <f>IF(O1125="","",(O1125/(N1125)*365))</f>
        <v/>
      </c>
      <c r="Q1125" s="10"/>
    </row>
    <row r="1126" spans="1:17" x14ac:dyDescent="0.15">
      <c r="A1126" s="21"/>
      <c r="B1126" s="20"/>
      <c r="C1126" s="20"/>
      <c r="D1126" s="20"/>
      <c r="E1126" s="28"/>
      <c r="F1126" s="21"/>
      <c r="G1126" s="22"/>
      <c r="H1126" s="11"/>
      <c r="I1126" s="15"/>
      <c r="J1126" s="15"/>
      <c r="K1126" s="14"/>
      <c r="L1126" s="22"/>
      <c r="M1126" s="32" t="str">
        <f t="shared" si="15"/>
        <v/>
      </c>
      <c r="N1126" s="16" t="str">
        <f t="shared" si="16"/>
        <v/>
      </c>
      <c r="O1126" s="17" t="str">
        <f>IF(J1126="","",M1126/L1126)</f>
        <v/>
      </c>
      <c r="P1126" s="18" t="str">
        <f>IF(O1126="","",(O1126/(N1126)*365))</f>
        <v/>
      </c>
      <c r="Q1126" s="19"/>
    </row>
    <row r="1127" spans="1:17" x14ac:dyDescent="0.15">
      <c r="A1127" s="23"/>
      <c r="B1127" s="3"/>
      <c r="C1127" s="3"/>
      <c r="D1127" s="3"/>
      <c r="E1127" s="29"/>
      <c r="F1127" s="23"/>
      <c r="G1127" s="24"/>
      <c r="H1127" s="1"/>
      <c r="I1127" s="6"/>
      <c r="J1127" s="6"/>
      <c r="K1127" s="5"/>
      <c r="L1127" s="24"/>
      <c r="M1127" s="31" t="str">
        <f t="shared" si="15"/>
        <v/>
      </c>
      <c r="N1127" s="7" t="str">
        <f t="shared" si="16"/>
        <v/>
      </c>
      <c r="O1127" s="8" t="str">
        <f>IF(J1127="","",M1127/L1127)</f>
        <v/>
      </c>
      <c r="P1127" s="9" t="str">
        <f>IF(O1127="","",(O1127/(N1127)*365))</f>
        <v/>
      </c>
      <c r="Q1127" s="10"/>
    </row>
    <row r="1128" spans="1:17" x14ac:dyDescent="0.15">
      <c r="A1128" s="21"/>
      <c r="B1128" s="20"/>
      <c r="C1128" s="20"/>
      <c r="D1128" s="20"/>
      <c r="E1128" s="28"/>
      <c r="F1128" s="21"/>
      <c r="G1128" s="22"/>
      <c r="H1128" s="11"/>
      <c r="I1128" s="15"/>
      <c r="J1128" s="15"/>
      <c r="K1128" s="14"/>
      <c r="L1128" s="22"/>
      <c r="M1128" s="32" t="str">
        <f t="shared" si="15"/>
        <v/>
      </c>
      <c r="N1128" s="16" t="str">
        <f t="shared" si="16"/>
        <v/>
      </c>
      <c r="O1128" s="17" t="str">
        <f>IF(J1128="","",M1128/L1128)</f>
        <v/>
      </c>
      <c r="P1128" s="18" t="str">
        <f>IF(O1128="","",(O1128/(N1128)*365))</f>
        <v/>
      </c>
      <c r="Q1128" s="19"/>
    </row>
    <row r="1129" spans="1:17" x14ac:dyDescent="0.15">
      <c r="A1129" s="23"/>
      <c r="B1129" s="3"/>
      <c r="C1129" s="3"/>
      <c r="D1129" s="3"/>
      <c r="E1129" s="29"/>
      <c r="F1129" s="23"/>
      <c r="G1129" s="24"/>
      <c r="H1129" s="1"/>
      <c r="I1129" s="6"/>
      <c r="J1129" s="6"/>
      <c r="K1129" s="5"/>
      <c r="L1129" s="24"/>
      <c r="M1129" s="31" t="str">
        <f t="shared" si="15"/>
        <v/>
      </c>
      <c r="N1129" s="7" t="str">
        <f t="shared" si="16"/>
        <v/>
      </c>
      <c r="O1129" s="8" t="str">
        <f>IF(J1129="","",M1129/L1129)</f>
        <v/>
      </c>
      <c r="P1129" s="9" t="str">
        <f>IF(O1129="","",(O1129/(N1129)*365))</f>
        <v/>
      </c>
      <c r="Q1129" s="10"/>
    </row>
    <row r="1130" spans="1:17" x14ac:dyDescent="0.15">
      <c r="A1130" s="21"/>
      <c r="B1130" s="20"/>
      <c r="C1130" s="20"/>
      <c r="D1130" s="20"/>
      <c r="E1130" s="28"/>
      <c r="F1130" s="21"/>
      <c r="G1130" s="22"/>
      <c r="H1130" s="11"/>
      <c r="I1130" s="15"/>
      <c r="J1130" s="15"/>
      <c r="K1130" s="14"/>
      <c r="L1130" s="22"/>
      <c r="M1130" s="32" t="str">
        <f t="shared" si="15"/>
        <v/>
      </c>
      <c r="N1130" s="16" t="str">
        <f t="shared" si="16"/>
        <v/>
      </c>
      <c r="O1130" s="17" t="str">
        <f>IF(J1130="","",M1130/L1130)</f>
        <v/>
      </c>
      <c r="P1130" s="18" t="str">
        <f>IF(O1130="","",(O1130/(N1130)*365))</f>
        <v/>
      </c>
      <c r="Q1130" s="19"/>
    </row>
    <row r="1131" spans="1:17" x14ac:dyDescent="0.15">
      <c r="A1131" s="23"/>
      <c r="B1131" s="3"/>
      <c r="C1131" s="3"/>
      <c r="D1131" s="3"/>
      <c r="E1131" s="29"/>
      <c r="F1131" s="23"/>
      <c r="G1131" s="24"/>
      <c r="H1131" s="1"/>
      <c r="I1131" s="6"/>
      <c r="J1131" s="6"/>
      <c r="K1131" s="5"/>
      <c r="L1131" s="24"/>
      <c r="M1131" s="31" t="str">
        <f t="shared" si="15"/>
        <v/>
      </c>
      <c r="N1131" s="7" t="str">
        <f t="shared" si="16"/>
        <v/>
      </c>
      <c r="O1131" s="8" t="str">
        <f>IF(J1131="","",M1131/L1131)</f>
        <v/>
      </c>
      <c r="P1131" s="9" t="str">
        <f>IF(O1131="","",(O1131/(N1131)*365))</f>
        <v/>
      </c>
      <c r="Q1131" s="10"/>
    </row>
    <row r="1132" spans="1:17" x14ac:dyDescent="0.15">
      <c r="A1132" s="21"/>
      <c r="B1132" s="20"/>
      <c r="C1132" s="20"/>
      <c r="D1132" s="20"/>
      <c r="E1132" s="28"/>
      <c r="F1132" s="21"/>
      <c r="G1132" s="22"/>
      <c r="H1132" s="11"/>
      <c r="I1132" s="15"/>
      <c r="J1132" s="15"/>
      <c r="K1132" s="14"/>
      <c r="L1132" s="22"/>
      <c r="M1132" s="32" t="str">
        <f t="shared" si="15"/>
        <v/>
      </c>
      <c r="N1132" s="16" t="str">
        <f t="shared" si="16"/>
        <v/>
      </c>
      <c r="O1132" s="17" t="str">
        <f>IF(J1132="","",M1132/L1132)</f>
        <v/>
      </c>
      <c r="P1132" s="18" t="str">
        <f>IF(O1132="","",(O1132/(N1132)*365))</f>
        <v/>
      </c>
      <c r="Q1132" s="19"/>
    </row>
    <row r="1133" spans="1:17" x14ac:dyDescent="0.15">
      <c r="A1133" s="23"/>
      <c r="B1133" s="3"/>
      <c r="C1133" s="3"/>
      <c r="D1133" s="3"/>
      <c r="E1133" s="29"/>
      <c r="F1133" s="23"/>
      <c r="G1133" s="24"/>
      <c r="H1133" s="1"/>
      <c r="I1133" s="6"/>
      <c r="J1133" s="6"/>
      <c r="K1133" s="5"/>
      <c r="L1133" s="24"/>
      <c r="M1133" s="31" t="str">
        <f t="shared" si="15"/>
        <v/>
      </c>
      <c r="N1133" s="7" t="str">
        <f t="shared" si="16"/>
        <v/>
      </c>
      <c r="O1133" s="8" t="str">
        <f>IF(J1133="","",M1133/L1133)</f>
        <v/>
      </c>
      <c r="P1133" s="9" t="str">
        <f>IF(O1133="","",(O1133/(N1133)*365))</f>
        <v/>
      </c>
      <c r="Q1133" s="10"/>
    </row>
    <row r="1134" spans="1:17" x14ac:dyDescent="0.15">
      <c r="A1134" s="21"/>
      <c r="B1134" s="20"/>
      <c r="C1134" s="20"/>
      <c r="D1134" s="20"/>
      <c r="E1134" s="28"/>
      <c r="F1134" s="21"/>
      <c r="G1134" s="22"/>
      <c r="H1134" s="11"/>
      <c r="I1134" s="15"/>
      <c r="J1134" s="15"/>
      <c r="K1134" s="14"/>
      <c r="L1134" s="22"/>
      <c r="M1134" s="32" t="str">
        <f t="shared" si="15"/>
        <v/>
      </c>
      <c r="N1134" s="16" t="str">
        <f t="shared" si="16"/>
        <v/>
      </c>
      <c r="O1134" s="17" t="str">
        <f>IF(J1134="","",M1134/L1134)</f>
        <v/>
      </c>
      <c r="P1134" s="18" t="str">
        <f>IF(O1134="","",(O1134/(N1134)*365))</f>
        <v/>
      </c>
      <c r="Q1134" s="19"/>
    </row>
    <row r="1135" spans="1:17" x14ac:dyDescent="0.15">
      <c r="A1135" s="23"/>
      <c r="B1135" s="3"/>
      <c r="C1135" s="3"/>
      <c r="D1135" s="3"/>
      <c r="E1135" s="29"/>
      <c r="F1135" s="23"/>
      <c r="G1135" s="24"/>
      <c r="H1135" s="1"/>
      <c r="I1135" s="6"/>
      <c r="J1135" s="6"/>
      <c r="K1135" s="5"/>
      <c r="L1135" s="24"/>
      <c r="M1135" s="31" t="str">
        <f t="shared" si="15"/>
        <v/>
      </c>
      <c r="N1135" s="7" t="str">
        <f t="shared" si="16"/>
        <v/>
      </c>
      <c r="O1135" s="8" t="str">
        <f>IF(J1135="","",M1135/L1135)</f>
        <v/>
      </c>
      <c r="P1135" s="9" t="str">
        <f>IF(O1135="","",(O1135/(N1135)*365))</f>
        <v/>
      </c>
      <c r="Q1135" s="10"/>
    </row>
    <row r="1136" spans="1:17" x14ac:dyDescent="0.15">
      <c r="A1136" s="21"/>
      <c r="B1136" s="20"/>
      <c r="C1136" s="20"/>
      <c r="D1136" s="20"/>
      <c r="E1136" s="28"/>
      <c r="F1136" s="21"/>
      <c r="G1136" s="22"/>
      <c r="H1136" s="11"/>
      <c r="I1136" s="15"/>
      <c r="J1136" s="15"/>
      <c r="K1136" s="14"/>
      <c r="L1136" s="22"/>
      <c r="M1136" s="32" t="str">
        <f t="shared" si="15"/>
        <v/>
      </c>
      <c r="N1136" s="16" t="str">
        <f t="shared" si="16"/>
        <v/>
      </c>
      <c r="O1136" s="17" t="str">
        <f>IF(J1136="","",M1136/L1136)</f>
        <v/>
      </c>
      <c r="P1136" s="18" t="str">
        <f>IF(O1136="","",(O1136/(N1136)*365))</f>
        <v/>
      </c>
      <c r="Q1136" s="19"/>
    </row>
    <row r="1137" spans="1:17" x14ac:dyDescent="0.15">
      <c r="A1137" s="23"/>
      <c r="B1137" s="3"/>
      <c r="C1137" s="3"/>
      <c r="D1137" s="3"/>
      <c r="E1137" s="29"/>
      <c r="F1137" s="23"/>
      <c r="G1137" s="24"/>
      <c r="H1137" s="1"/>
      <c r="I1137" s="6"/>
      <c r="J1137" s="6"/>
      <c r="K1137" s="5"/>
      <c r="L1137" s="24"/>
      <c r="M1137" s="31" t="str">
        <f t="shared" si="15"/>
        <v/>
      </c>
      <c r="N1137" s="7" t="str">
        <f t="shared" si="16"/>
        <v/>
      </c>
      <c r="O1137" s="8" t="str">
        <f>IF(J1137="","",M1137/L1137)</f>
        <v/>
      </c>
      <c r="P1137" s="9" t="str">
        <f>IF(O1137="","",(O1137/(N1137)*365))</f>
        <v/>
      </c>
      <c r="Q1137" s="10"/>
    </row>
    <row r="1138" spans="1:17" x14ac:dyDescent="0.15">
      <c r="A1138" s="21"/>
      <c r="B1138" s="20"/>
      <c r="C1138" s="20"/>
      <c r="D1138" s="20"/>
      <c r="E1138" s="28"/>
      <c r="F1138" s="21"/>
      <c r="G1138" s="22"/>
      <c r="H1138" s="11"/>
      <c r="I1138" s="15"/>
      <c r="J1138" s="15"/>
      <c r="K1138" s="14"/>
      <c r="L1138" s="22"/>
      <c r="M1138" s="32" t="str">
        <f t="shared" si="15"/>
        <v/>
      </c>
      <c r="N1138" s="16" t="str">
        <f t="shared" si="16"/>
        <v/>
      </c>
      <c r="O1138" s="17" t="str">
        <f>IF(J1138="","",M1138/L1138)</f>
        <v/>
      </c>
      <c r="P1138" s="18" t="str">
        <f>IF(O1138="","",(O1138/(N1138)*365))</f>
        <v/>
      </c>
      <c r="Q1138" s="19"/>
    </row>
    <row r="1139" spans="1:17" x14ac:dyDescent="0.15">
      <c r="A1139" s="23"/>
      <c r="B1139" s="3"/>
      <c r="C1139" s="3"/>
      <c r="D1139" s="3"/>
      <c r="E1139" s="29"/>
      <c r="F1139" s="23"/>
      <c r="G1139" s="24"/>
      <c r="H1139" s="1"/>
      <c r="I1139" s="6"/>
      <c r="J1139" s="6"/>
      <c r="K1139" s="5"/>
      <c r="L1139" s="24"/>
      <c r="M1139" s="31" t="str">
        <f t="shared" si="15"/>
        <v/>
      </c>
      <c r="N1139" s="7" t="str">
        <f t="shared" si="16"/>
        <v/>
      </c>
      <c r="O1139" s="8" t="str">
        <f>IF(J1139="","",M1139/L1139)</f>
        <v/>
      </c>
      <c r="P1139" s="9" t="str">
        <f>IF(O1139="","",(O1139/(N1139)*365))</f>
        <v/>
      </c>
      <c r="Q1139" s="10"/>
    </row>
  </sheetData>
  <autoFilter ref="A1:Q1139" xr:uid="{00000000-0009-0000-0000-000000000000}"/>
  <customSheetViews>
    <customSheetView guid="{A76022BB-C2A9-4CFE-9F71-B3809D4B6AD2}" filter="1" showAutoFilter="1">
      <pageMargins left="0" right="0" top="0" bottom="0" header="0" footer="0"/>
      <autoFilter ref="B3:Q1138" xr:uid="{7B7A7FA6-617E-4544-BF2C-30D58E1B8373}"/>
    </customSheetView>
  </customSheetViews>
  <conditionalFormatting sqref="F1:F1139">
    <cfRule type="containsText" dxfId="7" priority="7" operator="containsText" text="ass">
      <formula>NOT(ISERROR(SEARCH(("ass"),(F1))))</formula>
    </cfRule>
    <cfRule type="containsText" dxfId="6" priority="8" operator="containsText" text="stock">
      <formula>NOT(ISERROR(SEARCH(("stock"),(F1))))</formula>
    </cfRule>
    <cfRule type="containsText" dxfId="5" priority="9" operator="containsText" text="int">
      <formula>NOT(ISERROR(SEARCH(("int"),(F1))))</formula>
    </cfRule>
    <cfRule type="containsText" dxfId="4" priority="10" operator="containsText" text="div">
      <formula>NOT(ISERROR(SEARCH(("div"),(F1))))</formula>
    </cfRule>
  </conditionalFormatting>
  <conditionalFormatting sqref="M2:M1139">
    <cfRule type="cellIs" dxfId="3" priority="3" operator="greaterThan">
      <formula>0</formula>
    </cfRule>
    <cfRule type="cellIs" dxfId="2" priority="4" operator="equal">
      <formula>0</formula>
    </cfRule>
    <cfRule type="cellIs" dxfId="1" priority="5" operator="lessThan">
      <formula>0</formula>
    </cfRule>
    <cfRule type="containsBlanks" dxfId="0" priority="6">
      <formula>LEN(TRIM(M2))=0</formula>
    </cfRule>
  </conditionalFormatting>
  <dataValidations count="2">
    <dataValidation type="list" allowBlank="1" showErrorMessage="1" sqref="A2:A1139" xr:uid="{00000000-0002-0000-0000-000000000000}">
      <formula1>"Sell,Buy,Ass,SDI"</formula1>
    </dataValidation>
    <dataValidation type="custom" allowBlank="1" showDropDown="1" sqref="B2:D41 B42 D42 B43:D1139" xr:uid="{00000000-0002-0000-0000-000001000000}">
      <formula1>OR(NOT(ISERROR(DATEVALUE(B2))), AND(ISNUMBER(B2), LEFT(CELL("format", B2))="D"))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Sanjay Shetty</cp:lastModifiedBy>
  <cp:revision/>
  <dcterms:created xsi:type="dcterms:W3CDTF">2025-02-02T23:23:27Z</dcterms:created>
  <dcterms:modified xsi:type="dcterms:W3CDTF">2026-02-08T03:02:51Z</dcterms:modified>
  <cp:category/>
  <cp:contentStatus/>
</cp:coreProperties>
</file>